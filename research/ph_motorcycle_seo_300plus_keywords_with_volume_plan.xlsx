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Keywords" sheetId="1" state="visible" r:id="rId1"/>
    <sheet xmlns:r="http://schemas.openxmlformats.org/officeDocument/2006/relationships" name="Topic Map" sheetId="2" state="visible" r:id="rId2"/>
    <sheet xmlns:r="http://schemas.openxmlformats.org/officeDocument/2006/relationships" name="Volume-First Roadmap" sheetId="3" state="visible" r:id="rId3"/>
    <sheet xmlns:r="http://schemas.openxmlformats.org/officeDocument/2006/relationships" name="SEO Roadmap v2.4.5" sheetId="4" state="visible" r:id="rId4"/>
    <sheet xmlns:r="http://schemas.openxmlformats.org/officeDocument/2006/relationships" name="Build Plan" sheetId="5" state="visible" r:id="rId5"/>
    <sheet xmlns:r="http://schemas.openxmlformats.org/officeDocument/2006/relationships" name="Page Templates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'Master Keywords'!$A$1:$J$394</definedName>
    <definedName name="_xlnm._FilterDatabase" localSheetId="2" hidden="1">'Volume-First Roadmap'!$A$7:$L$27</definedName>
    <definedName name="_xlnm._FilterDatabase" localSheetId="3" hidden="1">'SEO Roadmap v2.4.5'!$A$7:$N$21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color rgb="00000000"/>
    </font>
    <font>
      <b val="1"/>
      <color rgb="00FFFFFF"/>
      <sz val="18"/>
    </font>
    <font>
      <i val="1"/>
      <color rgb="00666666"/>
    </font>
    <font>
      <b val="1"/>
      <color rgb="00666666"/>
    </font>
    <font>
      <b val="1"/>
      <color rgb="0017365D"/>
    </font>
    <font>
      <b val="1"/>
      <color rgb="00000000"/>
      <sz val="14"/>
    </font>
    <font>
      <b val="1"/>
    </font>
    <font>
      <b val="1"/>
      <color rgb="00FFFFFF"/>
      <sz val="14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8" fillId="0" borderId="0" pivotButton="0" quotePrefix="0" xfId="0"/>
    <xf numFmtId="9" fontId="0" fillId="0" borderId="0" pivotButton="0" quotePrefix="0" xfId="0"/>
    <xf numFmtId="0" fontId="8" fillId="3" borderId="0" pivotButton="0" quotePrefix="0" xfId="0"/>
    <xf numFmtId="3" fontId="9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8" fillId="3" borderId="0" applyAlignment="1" pivotButton="0" quotePrefix="0" xfId="0">
      <alignment wrapText="1"/>
    </xf>
    <xf numFmtId="0" fontId="12" fillId="2" borderId="0" applyAlignment="1" pivotButton="0" quotePrefix="0" xfId="0">
      <alignment vertical="center"/>
    </xf>
    <xf numFmtId="0" fontId="8" fillId="3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KeywordsTable" displayName="KeywordsTable" ref="A1:J394" headerRowCount="1">
  <autoFilter ref="A1:J394"/>
  <tableColumns count="10">
    <tableColumn id="1" name="Cluster"/>
    <tableColumn id="2" name="Keyword"/>
    <tableColumn id="3" name="PH Volume/mo"/>
    <tableColumn id="4" name="KD"/>
    <tableColumn id="5" name="Intent"/>
    <tableColumn id="6" name="Recommended Page Type"/>
    <tableColumn id="7" name="Suggested URL"/>
    <tableColumn id="8" name="Opportunity Score"/>
    <tableColumn id="9" name="Priority"/>
    <tableColumn id="10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8" customWidth="1" min="4" max="4"/>
    <col width="28" customWidth="1" min="5" max="5"/>
    <col width="30" customWidth="1" min="6" max="6"/>
    <col width="56" customWidth="1" min="7" max="7"/>
    <col width="18" customWidth="1" min="8" max="8"/>
    <col width="10" customWidth="1" min="9" max="9"/>
    <col width="36" customWidth="1" min="10" max="10"/>
  </cols>
  <sheetData>
    <row r="1" ht="28" customHeight="1">
      <c r="A1" s="1" t="inlineStr">
        <is>
          <t>Cluster</t>
        </is>
      </c>
      <c r="B1" s="1" t="inlineStr">
        <is>
          <t>Keyword</t>
        </is>
      </c>
      <c r="C1" s="1" t="inlineStr">
        <is>
          <t>PH Volume/mo</t>
        </is>
      </c>
      <c r="D1" s="1" t="inlineStr">
        <is>
          <t>KD</t>
        </is>
      </c>
      <c r="E1" s="1" t="inlineStr">
        <is>
          <t>Intent</t>
        </is>
      </c>
      <c r="F1" s="1" t="inlineStr">
        <is>
          <t>Recommended Page Type</t>
        </is>
      </c>
      <c r="G1" s="1" t="inlineStr">
        <is>
          <t>Suggested URL</t>
        </is>
      </c>
      <c r="H1" s="1" t="inlineStr">
        <is>
          <t>Opportunity Score</t>
        </is>
      </c>
      <c r="I1" s="1" t="inlineStr">
        <is>
          <t>Priority</t>
        </is>
      </c>
      <c r="J1" s="1" t="inlineStr">
        <is>
          <t>Source</t>
        </is>
      </c>
    </row>
    <row r="2">
      <c r="A2" s="2" t="inlineStr">
        <is>
          <t>Motorcycle Prices &amp; Models</t>
        </is>
      </c>
      <c r="B2" s="3" t="inlineStr">
        <is>
          <t>aerox v3 price philippines</t>
        </is>
      </c>
      <c r="C2" s="4" t="n">
        <v>41000</v>
      </c>
      <c r="D2" s="3" t="n">
        <v>0</v>
      </c>
      <c r="E2" s="5" t="inlineStr">
        <is>
          <t>Commercial</t>
        </is>
      </c>
      <c r="F2" s="5" t="inlineStr">
        <is>
          <t>Model price/spec page</t>
        </is>
      </c>
      <c r="G2" s="5" t="inlineStr">
        <is>
          <t>/motorcycles/aerox-v3-price-philippines/</t>
        </is>
      </c>
      <c r="H2" s="6">
        <f>ROUND(MIN(100,LOG10(C2+1)*18+(10-D2)*2+IF(OR(E2="Commercial",E2="Informational / Transactional"),12,5)),0)</f>
        <v/>
      </c>
      <c r="I2" s="6">
        <f>IF(H2&gt;=85,"P1",IF(H2&gt;=70,"P2","P3"))</f>
        <v/>
      </c>
      <c r="J2" s="5" t="inlineStr">
        <is>
          <t>https://ahrefs.com/keywords-explorer</t>
        </is>
      </c>
    </row>
    <row r="3">
      <c r="A3" s="2" t="inlineStr">
        <is>
          <t>Motorcycle Prices &amp; Models</t>
        </is>
      </c>
      <c r="B3" s="3" t="inlineStr">
        <is>
          <t>nmax price philippines</t>
        </is>
      </c>
      <c r="C3" s="4" t="n">
        <v>23000</v>
      </c>
      <c r="D3" s="3" t="n">
        <v>0</v>
      </c>
      <c r="E3" s="5" t="inlineStr">
        <is>
          <t>Commercial</t>
        </is>
      </c>
      <c r="F3" s="5" t="inlineStr">
        <is>
          <t>Model price/spec page</t>
        </is>
      </c>
      <c r="G3" s="5" t="inlineStr">
        <is>
          <t>/motorcycles/nmax-price-philippines/</t>
        </is>
      </c>
      <c r="H3" s="6">
        <f>ROUND(MIN(100,LOG10(C3+1)*18+(10-D3)*2+IF(OR(E3="Commercial",E3="Informational / Transactional"),12,5)),0)</f>
        <v/>
      </c>
      <c r="I3" s="6">
        <f>IF(H3&gt;=85,"P1",IF(H3&gt;=70,"P2","P3"))</f>
        <v/>
      </c>
      <c r="J3" s="5" t="inlineStr">
        <is>
          <t>https://ahrefs.com/keywords-explorer</t>
        </is>
      </c>
    </row>
    <row r="4">
      <c r="A4" s="2" t="inlineStr">
        <is>
          <t>Motorcycle Prices &amp; Models</t>
        </is>
      </c>
      <c r="B4" s="3" t="inlineStr">
        <is>
          <t>aerox v2 price philippines</t>
        </is>
      </c>
      <c r="C4" s="4" t="n">
        <v>20000</v>
      </c>
      <c r="D4" s="3" t="n">
        <v>8</v>
      </c>
      <c r="E4" s="5" t="inlineStr">
        <is>
          <t>Commercial</t>
        </is>
      </c>
      <c r="F4" s="5" t="inlineStr">
        <is>
          <t>Model price/spec page</t>
        </is>
      </c>
      <c r="G4" s="5" t="inlineStr">
        <is>
          <t>/motorcycles/aerox-v2-price-philippines/</t>
        </is>
      </c>
      <c r="H4" s="6">
        <f>ROUND(MIN(100,LOG10(C4+1)*18+(10-D4)*2+IF(OR(E4="Commercial",E4="Informational / Transactional"),12,5)),0)</f>
        <v/>
      </c>
      <c r="I4" s="6">
        <f>IF(H4&gt;=85,"P1",IF(H4&gt;=70,"P2","P3"))</f>
        <v/>
      </c>
      <c r="J4" s="5" t="inlineStr">
        <is>
          <t>https://ahrefs.com/keywords-explorer</t>
        </is>
      </c>
    </row>
    <row r="5">
      <c r="A5" s="2" t="inlineStr">
        <is>
          <t>Motorcycle Prices &amp; Models</t>
        </is>
      </c>
      <c r="B5" s="3" t="inlineStr">
        <is>
          <t>aerox price philippines</t>
        </is>
      </c>
      <c r="C5" s="4" t="n">
        <v>14000</v>
      </c>
      <c r="D5" s="3" t="n">
        <v>8</v>
      </c>
      <c r="E5" s="5" t="inlineStr">
        <is>
          <t>Commercial</t>
        </is>
      </c>
      <c r="F5" s="5" t="inlineStr">
        <is>
          <t>Model price/spec page</t>
        </is>
      </c>
      <c r="G5" s="5" t="inlineStr">
        <is>
          <t>/motorcycles/aerox-price-philippines/</t>
        </is>
      </c>
      <c r="H5" s="6">
        <f>ROUND(MIN(100,LOG10(C5+1)*18+(10-D5)*2+IF(OR(E5="Commercial",E5="Informational / Transactional"),12,5)),0)</f>
        <v/>
      </c>
      <c r="I5" s="6">
        <f>IF(H5&gt;=85,"P1",IF(H5&gt;=70,"P2","P3"))</f>
        <v/>
      </c>
      <c r="J5" s="5" t="inlineStr">
        <is>
          <t>https://ahrefs.com/keywords-explorer</t>
        </is>
      </c>
    </row>
    <row r="6">
      <c r="A6" s="2" t="inlineStr">
        <is>
          <t>Motorcycle Prices &amp; Models</t>
        </is>
      </c>
      <c r="B6" s="3" t="inlineStr">
        <is>
          <t>nmax v3 price philippines</t>
        </is>
      </c>
      <c r="C6" s="4" t="n">
        <v>14000</v>
      </c>
      <c r="D6" s="3" t="n">
        <v>0</v>
      </c>
      <c r="E6" s="5" t="inlineStr">
        <is>
          <t>Commercial</t>
        </is>
      </c>
      <c r="F6" s="5" t="inlineStr">
        <is>
          <t>Model price/spec page</t>
        </is>
      </c>
      <c r="G6" s="5" t="inlineStr">
        <is>
          <t>/motorcycles/nmax-v3-price-philippines/</t>
        </is>
      </c>
      <c r="H6" s="6">
        <f>ROUND(MIN(100,LOG10(C6+1)*18+(10-D6)*2+IF(OR(E6="Commercial",E6="Informational / Transactional"),12,5)),0)</f>
        <v/>
      </c>
      <c r="I6" s="6">
        <f>IF(H6&gt;=85,"P1",IF(H6&gt;=70,"P2","P3"))</f>
        <v/>
      </c>
      <c r="J6" s="5" t="inlineStr">
        <is>
          <t>https://ahrefs.com/keywords-explorer</t>
        </is>
      </c>
    </row>
    <row r="7">
      <c r="A7" s="2" t="inlineStr">
        <is>
          <t>Motorcycle Prices &amp; Models</t>
        </is>
      </c>
      <c r="B7" s="3" t="inlineStr">
        <is>
          <t>adv 160 price philippines</t>
        </is>
      </c>
      <c r="C7" s="4" t="n">
        <v>13000</v>
      </c>
      <c r="D7" s="3" t="n">
        <v>0</v>
      </c>
      <c r="E7" s="5" t="inlineStr">
        <is>
          <t>Commercial</t>
        </is>
      </c>
      <c r="F7" s="5" t="inlineStr">
        <is>
          <t>Model price/spec page</t>
        </is>
      </c>
      <c r="G7" s="5" t="inlineStr">
        <is>
          <t>/motorcycles/adv-160-price-philippines/</t>
        </is>
      </c>
      <c r="H7" s="6">
        <f>ROUND(MIN(100,LOG10(C7+1)*18+(10-D7)*2+IF(OR(E7="Commercial",E7="Informational / Transactional"),12,5)),0)</f>
        <v/>
      </c>
      <c r="I7" s="6">
        <f>IF(H7&gt;=85,"P1",IF(H7&gt;=70,"P2","P3"))</f>
        <v/>
      </c>
      <c r="J7" s="5" t="inlineStr">
        <is>
          <t>https://ahrefs.com/keywords-explorer</t>
        </is>
      </c>
    </row>
    <row r="8">
      <c r="A8" s="2" t="inlineStr">
        <is>
          <t>Motorcycle Prices &amp; Models</t>
        </is>
      </c>
      <c r="B8" s="3" t="inlineStr">
        <is>
          <t>honda adv 160 price philippines</t>
        </is>
      </c>
      <c r="C8" s="4" t="n">
        <v>13000</v>
      </c>
      <c r="D8" s="3" t="n">
        <v>0</v>
      </c>
      <c r="E8" s="5" t="inlineStr">
        <is>
          <t>Commercial</t>
        </is>
      </c>
      <c r="F8" s="5" t="inlineStr">
        <is>
          <t>Model price/spec page</t>
        </is>
      </c>
      <c r="G8" s="5" t="inlineStr">
        <is>
          <t>/motorcycles/honda-adv-160-price-philippines/</t>
        </is>
      </c>
      <c r="H8" s="6">
        <f>ROUND(MIN(100,LOG10(C8+1)*18+(10-D8)*2+IF(OR(E8="Commercial",E8="Informational / Transactional"),12,5)),0)</f>
        <v/>
      </c>
      <c r="I8" s="6">
        <f>IF(H8&gt;=85,"P1",IF(H8&gt;=70,"P2","P3"))</f>
        <v/>
      </c>
      <c r="J8" s="5" t="inlineStr">
        <is>
          <t>https://ahrefs.com/keywords-explorer</t>
        </is>
      </c>
    </row>
    <row r="9">
      <c r="A9" s="2" t="inlineStr">
        <is>
          <t>Motorcycle Prices &amp; Models</t>
        </is>
      </c>
      <c r="B9" s="3" t="inlineStr">
        <is>
          <t>nmax v2 price philippines</t>
        </is>
      </c>
      <c r="C9" s="4" t="n">
        <v>13000</v>
      </c>
      <c r="D9" s="3" t="n">
        <v>0</v>
      </c>
      <c r="E9" s="5" t="inlineStr">
        <is>
          <t>Commercial</t>
        </is>
      </c>
      <c r="F9" s="5" t="inlineStr">
        <is>
          <t>Model price/spec page</t>
        </is>
      </c>
      <c r="G9" s="5" t="inlineStr">
        <is>
          <t>/motorcycles/nmax-v2-price-philippines/</t>
        </is>
      </c>
      <c r="H9" s="6">
        <f>ROUND(MIN(100,LOG10(C9+1)*18+(10-D9)*2+IF(OR(E9="Commercial",E9="Informational / Transactional"),12,5)),0)</f>
        <v/>
      </c>
      <c r="I9" s="6">
        <f>IF(H9&gt;=85,"P1",IF(H9&gt;=70,"P2","P3"))</f>
        <v/>
      </c>
      <c r="J9" s="5" t="inlineStr">
        <is>
          <t>https://ahrefs.com/keywords-explorer</t>
        </is>
      </c>
    </row>
    <row r="10">
      <c r="A10" s="2" t="inlineStr">
        <is>
          <t>Motorcycle Prices &amp; Models</t>
        </is>
      </c>
      <c r="B10" s="3" t="inlineStr">
        <is>
          <t>honda click 160 price philippines</t>
        </is>
      </c>
      <c r="C10" s="4" t="n">
        <v>11000</v>
      </c>
      <c r="D10" s="3" t="n">
        <v>0</v>
      </c>
      <c r="E10" s="5" t="inlineStr">
        <is>
          <t>Commercial</t>
        </is>
      </c>
      <c r="F10" s="5" t="inlineStr">
        <is>
          <t>Model price/spec page</t>
        </is>
      </c>
      <c r="G10" s="5" t="inlineStr">
        <is>
          <t>/motorcycles/honda-click-160-price-philippines/</t>
        </is>
      </c>
      <c r="H10" s="6">
        <f>ROUND(MIN(100,LOG10(C10+1)*18+(10-D10)*2+IF(OR(E10="Commercial",E10="Informational / Transactional"),12,5)),0)</f>
        <v/>
      </c>
      <c r="I10" s="6">
        <f>IF(H10&gt;=85,"P1",IF(H10&gt;=70,"P2","P3"))</f>
        <v/>
      </c>
      <c r="J10" s="5" t="inlineStr">
        <is>
          <t>https://ahrefs.com/keywords-explorer</t>
        </is>
      </c>
    </row>
    <row r="11">
      <c r="A11" s="2" t="inlineStr">
        <is>
          <t>Motorcycle Prices &amp; Models</t>
        </is>
      </c>
      <c r="B11" s="3" t="inlineStr">
        <is>
          <t>pcx price philippines</t>
        </is>
      </c>
      <c r="C11" s="4" t="n">
        <v>8300</v>
      </c>
      <c r="D11" s="3" t="n">
        <v>0</v>
      </c>
      <c r="E11" s="5" t="inlineStr">
        <is>
          <t>Commercial</t>
        </is>
      </c>
      <c r="F11" s="5" t="inlineStr">
        <is>
          <t>Model price/spec page</t>
        </is>
      </c>
      <c r="G11" s="5" t="inlineStr">
        <is>
          <t>/motorcycles/pcx-price-philippines/</t>
        </is>
      </c>
      <c r="H11" s="6">
        <f>ROUND(MIN(100,LOG10(C11+1)*18+(10-D11)*2+IF(OR(E11="Commercial",E11="Informational / Transactional"),12,5)),0)</f>
        <v/>
      </c>
      <c r="I11" s="6">
        <f>IF(H11&gt;=85,"P1",IF(H11&gt;=70,"P2","P3"))</f>
        <v/>
      </c>
      <c r="J11" s="5" t="inlineStr">
        <is>
          <t>https://ahrefs.com/keywords-explorer</t>
        </is>
      </c>
    </row>
    <row r="12">
      <c r="A12" s="2" t="inlineStr">
        <is>
          <t>Motorcycle Prices &amp; Models</t>
        </is>
      </c>
      <c r="B12" s="3" t="inlineStr">
        <is>
          <t>fazzio price philippines</t>
        </is>
      </c>
      <c r="C12" s="4" t="n">
        <v>7600</v>
      </c>
      <c r="D12" s="3" t="n">
        <v>0</v>
      </c>
      <c r="E12" s="5" t="inlineStr">
        <is>
          <t>Commercial</t>
        </is>
      </c>
      <c r="F12" s="5" t="inlineStr">
        <is>
          <t>Model price/spec page</t>
        </is>
      </c>
      <c r="G12" s="5" t="inlineStr">
        <is>
          <t>/motorcycles/fazzio-price-philippines/</t>
        </is>
      </c>
      <c r="H12" s="6">
        <f>ROUND(MIN(100,LOG10(C12+1)*18+(10-D12)*2+IF(OR(E12="Commercial",E12="Informational / Transactional"),12,5)),0)</f>
        <v/>
      </c>
      <c r="I12" s="6">
        <f>IF(H12&gt;=85,"P1",IF(H12&gt;=70,"P2","P3"))</f>
        <v/>
      </c>
      <c r="J12" s="5" t="inlineStr">
        <is>
          <t>https://ahrefs.com/keywords-explorer</t>
        </is>
      </c>
    </row>
    <row r="13">
      <c r="A13" s="2" t="inlineStr">
        <is>
          <t>Motorcycle Prices &amp; Models</t>
        </is>
      </c>
      <c r="B13" s="3" t="inlineStr">
        <is>
          <t>adv price philippines</t>
        </is>
      </c>
      <c r="C13" s="4" t="n">
        <v>6500</v>
      </c>
      <c r="D13" s="3" t="n">
        <v>0</v>
      </c>
      <c r="E13" s="5" t="inlineStr">
        <is>
          <t>Commercial</t>
        </is>
      </c>
      <c r="F13" s="5" t="inlineStr">
        <is>
          <t>Model price/spec page</t>
        </is>
      </c>
      <c r="G13" s="5" t="inlineStr">
        <is>
          <t>/motorcycles/adv-price-philippines/</t>
        </is>
      </c>
      <c r="H13" s="6">
        <f>ROUND(MIN(100,LOG10(C13+1)*18+(10-D13)*2+IF(OR(E13="Commercial",E13="Informational / Transactional"),12,5)),0)</f>
        <v/>
      </c>
      <c r="I13" s="6">
        <f>IF(H13&gt;=85,"P1",IF(H13&gt;=70,"P2","P3"))</f>
        <v/>
      </c>
      <c r="J13" s="5" t="inlineStr">
        <is>
          <t>https://ahrefs.com/keywords-explorer</t>
        </is>
      </c>
    </row>
    <row r="14">
      <c r="A14" s="2" t="inlineStr">
        <is>
          <t>Motorcycle Prices &amp; Models</t>
        </is>
      </c>
      <c r="B14" s="3" t="inlineStr">
        <is>
          <t>pcx 160 price philippines</t>
        </is>
      </c>
      <c r="C14" s="4" t="n">
        <v>5800</v>
      </c>
      <c r="D14" s="3" t="n">
        <v>0</v>
      </c>
      <c r="E14" s="5" t="inlineStr">
        <is>
          <t>Commercial</t>
        </is>
      </c>
      <c r="F14" s="5" t="inlineStr">
        <is>
          <t>Model price/spec page</t>
        </is>
      </c>
      <c r="G14" s="5" t="inlineStr">
        <is>
          <t>/motorcycles/pcx-160-price-philippines/</t>
        </is>
      </c>
      <c r="H14" s="6">
        <f>ROUND(MIN(100,LOG10(C14+1)*18+(10-D14)*2+IF(OR(E14="Commercial",E14="Informational / Transactional"),12,5)),0)</f>
        <v/>
      </c>
      <c r="I14" s="6">
        <f>IF(H14&gt;=85,"P1",IF(H14&gt;=70,"P2","P3"))</f>
        <v/>
      </c>
      <c r="J14" s="5" t="inlineStr">
        <is>
          <t>https://ahrefs.com/keywords-explorer</t>
        </is>
      </c>
    </row>
    <row r="15">
      <c r="A15" s="2" t="inlineStr">
        <is>
          <t>Motorcycle Prices &amp; Models</t>
        </is>
      </c>
      <c r="B15" s="3" t="inlineStr">
        <is>
          <t>nmax 2020 price philippines</t>
        </is>
      </c>
      <c r="C15" s="4" t="n">
        <v>5300</v>
      </c>
      <c r="D15" s="3" t="n">
        <v>0</v>
      </c>
      <c r="E15" s="5" t="inlineStr">
        <is>
          <t>Commercial</t>
        </is>
      </c>
      <c r="F15" s="5" t="inlineStr">
        <is>
          <t>Model price/spec page</t>
        </is>
      </c>
      <c r="G15" s="5" t="inlineStr">
        <is>
          <t>/motorcycles/nmax-2020-price-philippines/</t>
        </is>
      </c>
      <c r="H15" s="6">
        <f>ROUND(MIN(100,LOG10(C15+1)*18+(10-D15)*2+IF(OR(E15="Commercial",E15="Informational / Transactional"),12,5)),0)</f>
        <v/>
      </c>
      <c r="I15" s="6">
        <f>IF(H15&gt;=85,"P1",IF(H15&gt;=70,"P2","P3"))</f>
        <v/>
      </c>
      <c r="J15" s="5" t="inlineStr">
        <is>
          <t>https://ahrefs.com/keywords-explorer</t>
        </is>
      </c>
    </row>
    <row r="16">
      <c r="A16" s="2" t="inlineStr">
        <is>
          <t>Motorcycle Prices &amp; Models</t>
        </is>
      </c>
      <c r="B16" s="3" t="inlineStr">
        <is>
          <t>yamaha motorcycle philippines price list</t>
        </is>
      </c>
      <c r="C16" s="4" t="n">
        <v>4800</v>
      </c>
      <c r="D16" s="3" t="n">
        <v>0</v>
      </c>
      <c r="E16" s="5" t="inlineStr">
        <is>
          <t>Commercial</t>
        </is>
      </c>
      <c r="F16" s="5" t="inlineStr">
        <is>
          <t>Brand price-list hub</t>
        </is>
      </c>
      <c r="G16" s="5" t="inlineStr">
        <is>
          <t>/motorcycles/yamaha-motorcycle-philippines-price-list/</t>
        </is>
      </c>
      <c r="H16" s="6">
        <f>ROUND(MIN(100,LOG10(C16+1)*18+(10-D16)*2+IF(OR(E16="Commercial",E16="Informational / Transactional"),12,5)),0)</f>
        <v/>
      </c>
      <c r="I16" s="6">
        <f>IF(H16&gt;=85,"P1",IF(H16&gt;=70,"P2","P3"))</f>
        <v/>
      </c>
      <c r="J16" s="5" t="inlineStr">
        <is>
          <t>https://ahrefs.com/keywords-explorer</t>
        </is>
      </c>
    </row>
    <row r="17">
      <c r="A17" s="2" t="inlineStr">
        <is>
          <t>Motorcycle Prices &amp; Models</t>
        </is>
      </c>
      <c r="B17" s="3" t="inlineStr">
        <is>
          <t>adv 350 price philippines</t>
        </is>
      </c>
      <c r="C17" s="4" t="n">
        <v>4400</v>
      </c>
      <c r="D17" s="3" t="n">
        <v>0</v>
      </c>
      <c r="E17" s="5" t="inlineStr">
        <is>
          <t>Commercial</t>
        </is>
      </c>
      <c r="F17" s="5" t="inlineStr">
        <is>
          <t>Model price/spec page</t>
        </is>
      </c>
      <c r="G17" s="5" t="inlineStr">
        <is>
          <t>/motorcycles/adv-350-price-philippines/</t>
        </is>
      </c>
      <c r="H17" s="6">
        <f>ROUND(MIN(100,LOG10(C17+1)*18+(10-D17)*2+IF(OR(E17="Commercial",E17="Informational / Transactional"),12,5)),0)</f>
        <v/>
      </c>
      <c r="I17" s="6">
        <f>IF(H17&gt;=85,"P1",IF(H17&gt;=70,"P2","P3"))</f>
        <v/>
      </c>
      <c r="J17" s="5" t="inlineStr">
        <is>
          <t>https://ahrefs.com/keywords-explorer</t>
        </is>
      </c>
    </row>
    <row r="18">
      <c r="A18" s="2" t="inlineStr">
        <is>
          <t>Motorcycle Prices &amp; Models</t>
        </is>
      </c>
      <c r="B18" s="3" t="inlineStr">
        <is>
          <t>aerox 155 price philippines</t>
        </is>
      </c>
      <c r="C18" s="4" t="n">
        <v>3900</v>
      </c>
      <c r="D18" s="3" t="n">
        <v>8</v>
      </c>
      <c r="E18" s="5" t="inlineStr">
        <is>
          <t>Commercial</t>
        </is>
      </c>
      <c r="F18" s="5" t="inlineStr">
        <is>
          <t>Model price/spec page</t>
        </is>
      </c>
      <c r="G18" s="5" t="inlineStr">
        <is>
          <t>/motorcycles/aerox-155-price-philippines/</t>
        </is>
      </c>
      <c r="H18" s="6">
        <f>ROUND(MIN(100,LOG10(C18+1)*18+(10-D18)*2+IF(OR(E18="Commercial",E18="Informational / Transactional"),12,5)),0)</f>
        <v/>
      </c>
      <c r="I18" s="6">
        <f>IF(H18&gt;=85,"P1",IF(H18&gt;=70,"P2","P3"))</f>
        <v/>
      </c>
      <c r="J18" s="5" t="inlineStr">
        <is>
          <t>https://ahrefs.com/keywords-explorer</t>
        </is>
      </c>
    </row>
    <row r="19">
      <c r="A19" s="2" t="inlineStr">
        <is>
          <t>Motorcycle Prices &amp; Models</t>
        </is>
      </c>
      <c r="B19" s="3" t="inlineStr">
        <is>
          <t>click 160 price philippines</t>
        </is>
      </c>
      <c r="C19" s="4" t="n">
        <v>3900</v>
      </c>
      <c r="D19" s="3" t="n">
        <v>0</v>
      </c>
      <c r="E19" s="5" t="inlineStr">
        <is>
          <t>Commercial</t>
        </is>
      </c>
      <c r="F19" s="5" t="inlineStr">
        <is>
          <t>Model price/spec page</t>
        </is>
      </c>
      <c r="G19" s="5" t="inlineStr">
        <is>
          <t>/motorcycles/click-160-price-philippines/</t>
        </is>
      </c>
      <c r="H19" s="6">
        <f>ROUND(MIN(100,LOG10(C19+1)*18+(10-D19)*2+IF(OR(E19="Commercial",E19="Informational / Transactional"),12,5)),0)</f>
        <v/>
      </c>
      <c r="I19" s="6">
        <f>IF(H19&gt;=85,"P1",IF(H19&gt;=70,"P2","P3"))</f>
        <v/>
      </c>
      <c r="J19" s="5" t="inlineStr">
        <is>
          <t>https://ahrefs.com/keywords-explorer</t>
        </is>
      </c>
    </row>
    <row r="20">
      <c r="A20" s="2" t="inlineStr">
        <is>
          <t>Motorcycle Prices &amp; Models</t>
        </is>
      </c>
      <c r="B20" s="3" t="inlineStr">
        <is>
          <t>aerox v1 price philippines</t>
        </is>
      </c>
      <c r="C20" s="4" t="n">
        <v>3600</v>
      </c>
      <c r="D20" s="3" t="n">
        <v>0</v>
      </c>
      <c r="E20" s="5" t="inlineStr">
        <is>
          <t>Commercial</t>
        </is>
      </c>
      <c r="F20" s="5" t="inlineStr">
        <is>
          <t>Model price/spec page</t>
        </is>
      </c>
      <c r="G20" s="5" t="inlineStr">
        <is>
          <t>/motorcycles/aerox-v1-price-philippines/</t>
        </is>
      </c>
      <c r="H20" s="6">
        <f>ROUND(MIN(100,LOG10(C20+1)*18+(10-D20)*2+IF(OR(E20="Commercial",E20="Informational / Transactional"),12,5)),0)</f>
        <v/>
      </c>
      <c r="I20" s="6">
        <f>IF(H20&gt;=85,"P1",IF(H20&gt;=70,"P2","P3"))</f>
        <v/>
      </c>
      <c r="J20" s="5" t="inlineStr">
        <is>
          <t>https://ahrefs.com/keywords-explorer</t>
        </is>
      </c>
    </row>
    <row r="21">
      <c r="A21" s="2" t="inlineStr">
        <is>
          <t>Motorcycle Prices &amp; Models</t>
        </is>
      </c>
      <c r="B21" s="3" t="inlineStr">
        <is>
          <t>click v3 price philippines</t>
        </is>
      </c>
      <c r="C21" s="4" t="n">
        <v>3300</v>
      </c>
      <c r="D21" s="3" t="n">
        <v>0</v>
      </c>
      <c r="E21" s="5" t="inlineStr">
        <is>
          <t>Commercial</t>
        </is>
      </c>
      <c r="F21" s="5" t="inlineStr">
        <is>
          <t>Model price/spec page</t>
        </is>
      </c>
      <c r="G21" s="5" t="inlineStr">
        <is>
          <t>/motorcycles/click-v3-price-philippines/</t>
        </is>
      </c>
      <c r="H21" s="6">
        <f>ROUND(MIN(100,LOG10(C21+1)*18+(10-D21)*2+IF(OR(E21="Commercial",E21="Informational / Transactional"),12,5)),0)</f>
        <v/>
      </c>
      <c r="I21" s="6">
        <f>IF(H21&gt;=85,"P1",IF(H21&gt;=70,"P2","P3"))</f>
        <v/>
      </c>
      <c r="J21" s="5" t="inlineStr">
        <is>
          <t>https://ahrefs.com/keywords-explorer</t>
        </is>
      </c>
    </row>
    <row r="22">
      <c r="A22" s="2" t="inlineStr">
        <is>
          <t>Motorcycle Prices &amp; Models</t>
        </is>
      </c>
      <c r="B22" s="3" t="inlineStr">
        <is>
          <t>suzuki motorcycle philippines price list</t>
        </is>
      </c>
      <c r="C22" s="4" t="n">
        <v>3200</v>
      </c>
      <c r="D22" s="3" t="n">
        <v>3</v>
      </c>
      <c r="E22" s="5" t="inlineStr">
        <is>
          <t>Commercial</t>
        </is>
      </c>
      <c r="F22" s="5" t="inlineStr">
        <is>
          <t>Brand price-list hub</t>
        </is>
      </c>
      <c r="G22" s="5" t="inlineStr">
        <is>
          <t>/motorcycles/suzuki-motorcycle-philippines-price-list/</t>
        </is>
      </c>
      <c r="H22" s="6">
        <f>ROUND(MIN(100,LOG10(C22+1)*18+(10-D22)*2+IF(OR(E22="Commercial",E22="Informational / Transactional"),12,5)),0)</f>
        <v/>
      </c>
      <c r="I22" s="6">
        <f>IF(H22&gt;=85,"P1",IF(H22&gt;=70,"P2","P3"))</f>
        <v/>
      </c>
      <c r="J22" s="5" t="inlineStr">
        <is>
          <t>https://ahrefs.com/keywords-explorer</t>
        </is>
      </c>
    </row>
    <row r="23">
      <c r="A23" s="2" t="inlineStr">
        <is>
          <t>Motorcycle Prices &amp; Models</t>
        </is>
      </c>
      <c r="B23" s="3" t="inlineStr">
        <is>
          <t>nmax v1 price philippines</t>
        </is>
      </c>
      <c r="C23" s="4" t="n">
        <v>3100</v>
      </c>
      <c r="D23" s="3" t="n">
        <v>0</v>
      </c>
      <c r="E23" s="5" t="inlineStr">
        <is>
          <t>Commercial</t>
        </is>
      </c>
      <c r="F23" s="5" t="inlineStr">
        <is>
          <t>Model price/spec page</t>
        </is>
      </c>
      <c r="G23" s="5" t="inlineStr">
        <is>
          <t>/motorcycles/nmax-v1-price-philippines/</t>
        </is>
      </c>
      <c r="H23" s="6">
        <f>ROUND(MIN(100,LOG10(C23+1)*18+(10-D23)*2+IF(OR(E23="Commercial",E23="Informational / Transactional"),12,5)),0)</f>
        <v/>
      </c>
      <c r="I23" s="6">
        <f>IF(H23&gt;=85,"P1",IF(H23&gt;=70,"P2","P3"))</f>
        <v/>
      </c>
      <c r="J23" s="5" t="inlineStr">
        <is>
          <t>https://ahrefs.com/keywords-explorer</t>
        </is>
      </c>
    </row>
    <row r="24">
      <c r="A24" s="2" t="inlineStr">
        <is>
          <t>Motorcycle Prices &amp; Models</t>
        </is>
      </c>
      <c r="B24" s="3" t="inlineStr">
        <is>
          <t>aerox v4 price philippines</t>
        </is>
      </c>
      <c r="C24" s="4" t="n">
        <v>2900</v>
      </c>
      <c r="D24" s="3" t="n">
        <v>8</v>
      </c>
      <c r="E24" s="5" t="inlineStr">
        <is>
          <t>Commercial</t>
        </is>
      </c>
      <c r="F24" s="5" t="inlineStr">
        <is>
          <t>Model price/spec page</t>
        </is>
      </c>
      <c r="G24" s="5" t="inlineStr">
        <is>
          <t>/motorcycles/aerox-v4-price-philippines/</t>
        </is>
      </c>
      <c r="H24" s="6">
        <f>ROUND(MIN(100,LOG10(C24+1)*18+(10-D24)*2+IF(OR(E24="Commercial",E24="Informational / Transactional"),12,5)),0)</f>
        <v/>
      </c>
      <c r="I24" s="6">
        <f>IF(H24&gt;=85,"P1",IF(H24&gt;=70,"P2","P3"))</f>
        <v/>
      </c>
      <c r="J24" s="5" t="inlineStr">
        <is>
          <t>https://ahrefs.com/keywords-explorer</t>
        </is>
      </c>
    </row>
    <row r="25">
      <c r="A25" s="2" t="inlineStr">
        <is>
          <t>Motorcycle Prices &amp; Models</t>
        </is>
      </c>
      <c r="B25" s="3" t="inlineStr">
        <is>
          <t>yamaha aerox price philippines</t>
        </is>
      </c>
      <c r="C25" s="4" t="n">
        <v>2700</v>
      </c>
      <c r="D25" s="3" t="n">
        <v>8</v>
      </c>
      <c r="E25" s="5" t="inlineStr">
        <is>
          <t>Commercial</t>
        </is>
      </c>
      <c r="F25" s="5" t="inlineStr">
        <is>
          <t>Model price/spec page</t>
        </is>
      </c>
      <c r="G25" s="5" t="inlineStr">
        <is>
          <t>/motorcycles/yamaha-aerox-price-philippines/</t>
        </is>
      </c>
      <c r="H25" s="6">
        <f>ROUND(MIN(100,LOG10(C25+1)*18+(10-D25)*2+IF(OR(E25="Commercial",E25="Informational / Transactional"),12,5)),0)</f>
        <v/>
      </c>
      <c r="I25" s="6">
        <f>IF(H25&gt;=85,"P1",IF(H25&gt;=70,"P2","P3"))</f>
        <v/>
      </c>
      <c r="J25" s="5" t="inlineStr">
        <is>
          <t>https://ahrefs.com/keywords-explorer</t>
        </is>
      </c>
    </row>
    <row r="26">
      <c r="A26" s="2" t="inlineStr">
        <is>
          <t>Motorcycle Prices &amp; Models</t>
        </is>
      </c>
      <c r="B26" s="3" t="inlineStr">
        <is>
          <t>honda pcx 160 price philippines</t>
        </is>
      </c>
      <c r="C26" s="4" t="n">
        <v>2600</v>
      </c>
      <c r="D26" s="3" t="n">
        <v>0</v>
      </c>
      <c r="E26" s="5" t="inlineStr">
        <is>
          <t>Commercial</t>
        </is>
      </c>
      <c r="F26" s="5" t="inlineStr">
        <is>
          <t>Model price/spec page</t>
        </is>
      </c>
      <c r="G26" s="5" t="inlineStr">
        <is>
          <t>/motorcycles/honda-pcx-160-price-philippines/</t>
        </is>
      </c>
      <c r="H26" s="6">
        <f>ROUND(MIN(100,LOG10(C26+1)*18+(10-D26)*2+IF(OR(E26="Commercial",E26="Informational / Transactional"),12,5)),0)</f>
        <v/>
      </c>
      <c r="I26" s="6">
        <f>IF(H26&gt;=85,"P1",IF(H26&gt;=70,"P2","P3"))</f>
        <v/>
      </c>
      <c r="J26" s="5" t="inlineStr">
        <is>
          <t>https://ahrefs.com/keywords-explorer</t>
        </is>
      </c>
    </row>
    <row r="27">
      <c r="A27" s="2" t="inlineStr">
        <is>
          <t>Motorcycle Prices &amp; Models</t>
        </is>
      </c>
      <c r="B27" s="3" t="inlineStr">
        <is>
          <t>nmax 155 price philippines</t>
        </is>
      </c>
      <c r="C27" s="4" t="n">
        <v>2600</v>
      </c>
      <c r="D27" s="3" t="n">
        <v>0</v>
      </c>
      <c r="E27" s="5" t="inlineStr">
        <is>
          <t>Commercial</t>
        </is>
      </c>
      <c r="F27" s="5" t="inlineStr">
        <is>
          <t>Model price/spec page</t>
        </is>
      </c>
      <c r="G27" s="5" t="inlineStr">
        <is>
          <t>/motorcycles/nmax-155-price-philippines/</t>
        </is>
      </c>
      <c r="H27" s="6">
        <f>ROUND(MIN(100,LOG10(C27+1)*18+(10-D27)*2+IF(OR(E27="Commercial",E27="Informational / Transactional"),12,5)),0)</f>
        <v/>
      </c>
      <c r="I27" s="6">
        <f>IF(H27&gt;=85,"P1",IF(H27&gt;=70,"P2","P3"))</f>
        <v/>
      </c>
      <c r="J27" s="5" t="inlineStr">
        <is>
          <t>https://ahrefs.com/keywords-explorer</t>
        </is>
      </c>
    </row>
    <row r="28">
      <c r="A28" s="2" t="inlineStr">
        <is>
          <t>Motorcycle Prices &amp; Models</t>
        </is>
      </c>
      <c r="B28" s="3" t="inlineStr">
        <is>
          <t>honda adv 350 price philippines</t>
        </is>
      </c>
      <c r="C28" s="4" t="n">
        <v>2500</v>
      </c>
      <c r="D28" s="3" t="n">
        <v>0</v>
      </c>
      <c r="E28" s="5" t="inlineStr">
        <is>
          <t>Commercial</t>
        </is>
      </c>
      <c r="F28" s="5" t="inlineStr">
        <is>
          <t>Model price/spec page</t>
        </is>
      </c>
      <c r="G28" s="5" t="inlineStr">
        <is>
          <t>/motorcycles/honda-adv-350-price-philippines/</t>
        </is>
      </c>
      <c r="H28" s="6">
        <f>ROUND(MIN(100,LOG10(C28+1)*18+(10-D28)*2+IF(OR(E28="Commercial",E28="Informational / Transactional"),12,5)),0)</f>
        <v/>
      </c>
      <c r="I28" s="6">
        <f>IF(H28&gt;=85,"P1",IF(H28&gt;=70,"P2","P3"))</f>
        <v/>
      </c>
      <c r="J28" s="5" t="inlineStr">
        <is>
          <t>https://ahrefs.com/keywords-explorer</t>
        </is>
      </c>
    </row>
    <row r="29">
      <c r="A29" s="2" t="inlineStr">
        <is>
          <t>Motorcycle Prices &amp; Models</t>
        </is>
      </c>
      <c r="B29" s="3" t="inlineStr">
        <is>
          <t>yamaha nmax price philippines</t>
        </is>
      </c>
      <c r="C29" s="4" t="n">
        <v>2300</v>
      </c>
      <c r="D29" s="3" t="n">
        <v>0</v>
      </c>
      <c r="E29" s="5" t="inlineStr">
        <is>
          <t>Commercial</t>
        </is>
      </c>
      <c r="F29" s="5" t="inlineStr">
        <is>
          <t>Model price/spec page</t>
        </is>
      </c>
      <c r="G29" s="5" t="inlineStr">
        <is>
          <t>/motorcycles/yamaha-nmax-price-philippines/</t>
        </is>
      </c>
      <c r="H29" s="6">
        <f>ROUND(MIN(100,LOG10(C29+1)*18+(10-D29)*2+IF(OR(E29="Commercial",E29="Informational / Transactional"),12,5)),0)</f>
        <v/>
      </c>
      <c r="I29" s="6">
        <f>IF(H29&gt;=85,"P1",IF(H29&gt;=70,"P2","P3"))</f>
        <v/>
      </c>
      <c r="J29" s="5" t="inlineStr">
        <is>
          <t>https://ahrefs.com/keywords-explorer</t>
        </is>
      </c>
    </row>
    <row r="30">
      <c r="A30" s="2" t="inlineStr">
        <is>
          <t>Motorcycle Prices &amp; Models</t>
        </is>
      </c>
      <c r="B30" s="3" t="inlineStr">
        <is>
          <t>adv 750 price philippines</t>
        </is>
      </c>
      <c r="C30" s="4" t="n">
        <v>1800</v>
      </c>
      <c r="D30" s="3" t="n">
        <v>0</v>
      </c>
      <c r="E30" s="5" t="inlineStr">
        <is>
          <t>Commercial</t>
        </is>
      </c>
      <c r="F30" s="5" t="inlineStr">
        <is>
          <t>Model price/spec page</t>
        </is>
      </c>
      <c r="G30" s="5" t="inlineStr">
        <is>
          <t>/motorcycles/adv-750-price-philippines/</t>
        </is>
      </c>
      <c r="H30" s="6">
        <f>ROUND(MIN(100,LOG10(C30+1)*18+(10-D30)*2+IF(OR(E30="Commercial",E30="Informational / Transactional"),12,5)),0)</f>
        <v/>
      </c>
      <c r="I30" s="6">
        <f>IF(H30&gt;=85,"P1",IF(H30&gt;=70,"P2","P3"))</f>
        <v/>
      </c>
      <c r="J30" s="5" t="inlineStr">
        <is>
          <t>https://ahrefs.com/keywords-explorer</t>
        </is>
      </c>
    </row>
    <row r="31">
      <c r="A31" s="2" t="inlineStr">
        <is>
          <t>Motorcycle Prices &amp; Models</t>
        </is>
      </c>
      <c r="B31" s="3" t="inlineStr">
        <is>
          <t>honda click 150i price philippines</t>
        </is>
      </c>
      <c r="C31" s="4" t="n">
        <v>1700</v>
      </c>
      <c r="D31" s="3" t="n">
        <v>0</v>
      </c>
      <c r="E31" s="5" t="inlineStr">
        <is>
          <t>Commercial</t>
        </is>
      </c>
      <c r="F31" s="5" t="inlineStr">
        <is>
          <t>Model price/spec page</t>
        </is>
      </c>
      <c r="G31" s="5" t="inlineStr">
        <is>
          <t>/motorcycles/honda-click-150i-price-philippines/</t>
        </is>
      </c>
      <c r="H31" s="6">
        <f>ROUND(MIN(100,LOG10(C31+1)*18+(10-D31)*2+IF(OR(E31="Commercial",E31="Informational / Transactional"),12,5)),0)</f>
        <v/>
      </c>
      <c r="I31" s="6">
        <f>IF(H31&gt;=85,"P1",IF(H31&gt;=70,"P2","P3"))</f>
        <v/>
      </c>
      <c r="J31" s="5" t="inlineStr">
        <is>
          <t>https://ahrefs.com/keywords-explorer</t>
        </is>
      </c>
    </row>
    <row r="32">
      <c r="A32" s="2" t="inlineStr">
        <is>
          <t>Motorcycle Prices &amp; Models</t>
        </is>
      </c>
      <c r="B32" s="3" t="inlineStr">
        <is>
          <t>nmax turbo price philippines</t>
        </is>
      </c>
      <c r="C32" s="4" t="n">
        <v>1700</v>
      </c>
      <c r="D32" s="3" t="n">
        <v>0</v>
      </c>
      <c r="E32" s="5" t="inlineStr">
        <is>
          <t>Commercial</t>
        </is>
      </c>
      <c r="F32" s="5" t="inlineStr">
        <is>
          <t>Model price/spec page</t>
        </is>
      </c>
      <c r="G32" s="5" t="inlineStr">
        <is>
          <t>/motorcycles/nmax-turbo-price-philippines/</t>
        </is>
      </c>
      <c r="H32" s="6">
        <f>ROUND(MIN(100,LOG10(C32+1)*18+(10-D32)*2+IF(OR(E32="Commercial",E32="Informational / Transactional"),12,5)),0)</f>
        <v/>
      </c>
      <c r="I32" s="6">
        <f>IF(H32&gt;=85,"P1",IF(H32&gt;=70,"P2","P3"))</f>
        <v/>
      </c>
      <c r="J32" s="5" t="inlineStr">
        <is>
          <t>https://ahrefs.com/keywords-explorer</t>
        </is>
      </c>
    </row>
    <row r="33">
      <c r="A33" s="2" t="inlineStr">
        <is>
          <t>Motorcycle Prices &amp; Models</t>
        </is>
      </c>
      <c r="B33" s="3" t="inlineStr">
        <is>
          <t>aerox 2025 price philippines</t>
        </is>
      </c>
      <c r="C33" s="4" t="n">
        <v>1400</v>
      </c>
      <c r="D33" s="3" t="n">
        <v>0</v>
      </c>
      <c r="E33" s="5" t="inlineStr">
        <is>
          <t>Commercial</t>
        </is>
      </c>
      <c r="F33" s="5" t="inlineStr">
        <is>
          <t>Model price/spec page</t>
        </is>
      </c>
      <c r="G33" s="5" t="inlineStr">
        <is>
          <t>/motorcycles/aerox-2025-price-philippines/</t>
        </is>
      </c>
      <c r="H33" s="6">
        <f>ROUND(MIN(100,LOG10(C33+1)*18+(10-D33)*2+IF(OR(E33="Commercial",E33="Informational / Transactional"),12,5)),0)</f>
        <v/>
      </c>
      <c r="I33" s="6">
        <f>IF(H33&gt;=85,"P1",IF(H33&gt;=70,"P2","P3"))</f>
        <v/>
      </c>
      <c r="J33" s="5" t="inlineStr">
        <is>
          <t>https://ahrefs.com/keywords-explorer</t>
        </is>
      </c>
    </row>
    <row r="34">
      <c r="A34" s="2" t="inlineStr">
        <is>
          <t>Motorcycle Prices &amp; Models</t>
        </is>
      </c>
      <c r="B34" s="3" t="inlineStr">
        <is>
          <t>aerox price philippines 2025</t>
        </is>
      </c>
      <c r="C34" s="4" t="n">
        <v>1400</v>
      </c>
      <c r="D34" s="3" t="n">
        <v>0</v>
      </c>
      <c r="E34" s="5" t="inlineStr">
        <is>
          <t>Commercial</t>
        </is>
      </c>
      <c r="F34" s="5" t="inlineStr">
        <is>
          <t>Model price/spec page</t>
        </is>
      </c>
      <c r="G34" s="5" t="inlineStr">
        <is>
          <t>/motorcycles/aerox-price-philippines-2025/</t>
        </is>
      </c>
      <c r="H34" s="6">
        <f>ROUND(MIN(100,LOG10(C34+1)*18+(10-D34)*2+IF(OR(E34="Commercial",E34="Informational / Transactional"),12,5)),0)</f>
        <v/>
      </c>
      <c r="I34" s="6">
        <f>IF(H34&gt;=85,"P1",IF(H34&gt;=70,"P2","P3"))</f>
        <v/>
      </c>
      <c r="J34" s="5" t="inlineStr">
        <is>
          <t>https://ahrefs.com/keywords-explorer</t>
        </is>
      </c>
    </row>
    <row r="35">
      <c r="A35" s="2" t="inlineStr">
        <is>
          <t>Motorcycle Prices &amp; Models</t>
        </is>
      </c>
      <c r="B35" s="3" t="inlineStr">
        <is>
          <t>honda adv 150 price philippines</t>
        </is>
      </c>
      <c r="C35" s="4" t="n">
        <v>1300</v>
      </c>
      <c r="D35" s="3" t="n">
        <v>0</v>
      </c>
      <c r="E35" s="5" t="inlineStr">
        <is>
          <t>Commercial</t>
        </is>
      </c>
      <c r="F35" s="5" t="inlineStr">
        <is>
          <t>Model price/spec page</t>
        </is>
      </c>
      <c r="G35" s="5" t="inlineStr">
        <is>
          <t>/motorcycles/honda-adv-150-price-philippines/</t>
        </is>
      </c>
      <c r="H35" s="6">
        <f>ROUND(MIN(100,LOG10(C35+1)*18+(10-D35)*2+IF(OR(E35="Commercial",E35="Informational / Transactional"),12,5)),0)</f>
        <v/>
      </c>
      <c r="I35" s="6">
        <f>IF(H35&gt;=85,"P1",IF(H35&gt;=70,"P2","P3"))</f>
        <v/>
      </c>
      <c r="J35" s="5" t="inlineStr">
        <is>
          <t>https://ahrefs.com/keywords-explorer</t>
        </is>
      </c>
    </row>
    <row r="36">
      <c r="A36" s="2" t="inlineStr">
        <is>
          <t>Motorcycle Prices &amp; Models</t>
        </is>
      </c>
      <c r="B36" s="3" t="inlineStr">
        <is>
          <t>kawasaki motorcycle philippines price list</t>
        </is>
      </c>
      <c r="C36" s="4" t="n">
        <v>1300</v>
      </c>
      <c r="D36" s="3" t="n">
        <v>4</v>
      </c>
      <c r="E36" s="5" t="inlineStr">
        <is>
          <t>Commercial</t>
        </is>
      </c>
      <c r="F36" s="5" t="inlineStr">
        <is>
          <t>Brand price-list hub</t>
        </is>
      </c>
      <c r="G36" s="5" t="inlineStr">
        <is>
          <t>/motorcycles/kawasaki-motorcycle-philippines-price-list/</t>
        </is>
      </c>
      <c r="H36" s="6">
        <f>ROUND(MIN(100,LOG10(C36+1)*18+(10-D36)*2+IF(OR(E36="Commercial",E36="Informational / Transactional"),12,5)),0)</f>
        <v/>
      </c>
      <c r="I36" s="6">
        <f>IF(H36&gt;=85,"P1",IF(H36&gt;=70,"P2","P3"))</f>
        <v/>
      </c>
      <c r="J36" s="5" t="inlineStr">
        <is>
          <t>https://ahrefs.com/keywords-explorer</t>
        </is>
      </c>
    </row>
    <row r="37">
      <c r="A37" s="2" t="inlineStr">
        <is>
          <t>Motorcycle Prices &amp; Models</t>
        </is>
      </c>
      <c r="B37" s="3" t="inlineStr">
        <is>
          <t>aerox sp price philippines</t>
        </is>
      </c>
      <c r="C37" s="4" t="n">
        <v>1200</v>
      </c>
      <c r="D37" s="3" t="n">
        <v>0</v>
      </c>
      <c r="E37" s="5" t="inlineStr">
        <is>
          <t>Commercial</t>
        </is>
      </c>
      <c r="F37" s="5" t="inlineStr">
        <is>
          <t>Model price/spec page</t>
        </is>
      </c>
      <c r="G37" s="5" t="inlineStr">
        <is>
          <t>/motorcycles/aerox-sp-price-philippines/</t>
        </is>
      </c>
      <c r="H37" s="6">
        <f>ROUND(MIN(100,LOG10(C37+1)*18+(10-D37)*2+IF(OR(E37="Commercial",E37="Informational / Transactional"),12,5)),0)</f>
        <v/>
      </c>
      <c r="I37" s="6">
        <f>IF(H37&gt;=85,"P1",IF(H37&gt;=70,"P2","P3"))</f>
        <v/>
      </c>
      <c r="J37" s="5" t="inlineStr">
        <is>
          <t>https://ahrefs.com/keywords-explorer</t>
        </is>
      </c>
    </row>
    <row r="38">
      <c r="A38" s="2" t="inlineStr">
        <is>
          <t>Motorcycle Prices &amp; Models</t>
        </is>
      </c>
      <c r="B38" s="3" t="inlineStr">
        <is>
          <t>adv 160 price philippines 2025</t>
        </is>
      </c>
      <c r="C38" s="4" t="n">
        <v>1100</v>
      </c>
      <c r="D38" s="3" t="n">
        <v>0</v>
      </c>
      <c r="E38" s="5" t="inlineStr">
        <is>
          <t>Commercial</t>
        </is>
      </c>
      <c r="F38" s="5" t="inlineStr">
        <is>
          <t>Model price/spec page</t>
        </is>
      </c>
      <c r="G38" s="5" t="inlineStr">
        <is>
          <t>/motorcycles/adv-160-price-philippines-2025/</t>
        </is>
      </c>
      <c r="H38" s="6">
        <f>ROUND(MIN(100,LOG10(C38+1)*18+(10-D38)*2+IF(OR(E38="Commercial",E38="Informational / Transactional"),12,5)),0)</f>
        <v/>
      </c>
      <c r="I38" s="6">
        <f>IF(H38&gt;=85,"P1",IF(H38&gt;=70,"P2","P3"))</f>
        <v/>
      </c>
      <c r="J38" s="5" t="inlineStr">
        <is>
          <t>https://ahrefs.com/keywords-explorer</t>
        </is>
      </c>
    </row>
    <row r="39">
      <c r="A39" s="2" t="inlineStr">
        <is>
          <t>Motorcycle Prices &amp; Models</t>
        </is>
      </c>
      <c r="B39" s="3" t="inlineStr">
        <is>
          <t>honda adv 160 price philippines 2025</t>
        </is>
      </c>
      <c r="C39" s="4" t="n">
        <v>1100</v>
      </c>
      <c r="D39" s="3" t="n">
        <v>0</v>
      </c>
      <c r="E39" s="5" t="inlineStr">
        <is>
          <t>Commercial</t>
        </is>
      </c>
      <c r="F39" s="5" t="inlineStr">
        <is>
          <t>Model price/spec page</t>
        </is>
      </c>
      <c r="G39" s="5" t="inlineStr">
        <is>
          <t>/motorcycles/honda-adv-160-price-philippines-2025/</t>
        </is>
      </c>
      <c r="H39" s="6">
        <f>ROUND(MIN(100,LOG10(C39+1)*18+(10-D39)*2+IF(OR(E39="Commercial",E39="Informational / Transactional"),12,5)),0)</f>
        <v/>
      </c>
      <c r="I39" s="6">
        <f>IF(H39&gt;=85,"P1",IF(H39&gt;=70,"P2","P3"))</f>
        <v/>
      </c>
      <c r="J39" s="5" t="inlineStr">
        <is>
          <t>https://ahrefs.com/keywords-explorer</t>
        </is>
      </c>
    </row>
    <row r="40">
      <c r="A40" s="2" t="inlineStr">
        <is>
          <t>Motorcycle Prices &amp; Models</t>
        </is>
      </c>
      <c r="B40" s="3" t="inlineStr">
        <is>
          <t>honda click 160 price philippines 2025</t>
        </is>
      </c>
      <c r="C40" s="4" t="n">
        <v>1100</v>
      </c>
      <c r="D40" s="3" t="n">
        <v>0</v>
      </c>
      <c r="E40" s="5" t="inlineStr">
        <is>
          <t>Commercial</t>
        </is>
      </c>
      <c r="F40" s="5" t="inlineStr">
        <is>
          <t>Model price/spec page</t>
        </is>
      </c>
      <c r="G40" s="5" t="inlineStr">
        <is>
          <t>/motorcycles/honda-click-160-price-philippines-2025/</t>
        </is>
      </c>
      <c r="H40" s="6">
        <f>ROUND(MIN(100,LOG10(C40+1)*18+(10-D40)*2+IF(OR(E40="Commercial",E40="Informational / Transactional"),12,5)),0)</f>
        <v/>
      </c>
      <c r="I40" s="6">
        <f>IF(H40&gt;=85,"P1",IF(H40&gt;=70,"P2","P3"))</f>
        <v/>
      </c>
      <c r="J40" s="5" t="inlineStr">
        <is>
          <t>https://ahrefs.com/keywords-explorer</t>
        </is>
      </c>
    </row>
    <row r="41">
      <c r="A41" s="2" t="inlineStr">
        <is>
          <t>Motorcycle Prices &amp; Models</t>
        </is>
      </c>
      <c r="B41" s="3" t="inlineStr">
        <is>
          <t>yamaha aerox 155 price philippines</t>
        </is>
      </c>
      <c r="C41" s="4" t="n">
        <v>1100</v>
      </c>
      <c r="D41" s="3" t="n">
        <v>8</v>
      </c>
      <c r="E41" s="5" t="inlineStr">
        <is>
          <t>Commercial</t>
        </is>
      </c>
      <c r="F41" s="5" t="inlineStr">
        <is>
          <t>Model price/spec page</t>
        </is>
      </c>
      <c r="G41" s="5" t="inlineStr">
        <is>
          <t>/motorcycles/yamaha-aerox-155-price-philippines/</t>
        </is>
      </c>
      <c r="H41" s="6">
        <f>ROUND(MIN(100,LOG10(C41+1)*18+(10-D41)*2+IF(OR(E41="Commercial",E41="Informational / Transactional"),12,5)),0)</f>
        <v/>
      </c>
      <c r="I41" s="6">
        <f>IF(H41&gt;=85,"P1",IF(H41&gt;=70,"P2","P3"))</f>
        <v/>
      </c>
      <c r="J41" s="5" t="inlineStr">
        <is>
          <t>https://ahrefs.com/keywords-explorer</t>
        </is>
      </c>
    </row>
    <row r="42">
      <c r="A42" s="2" t="inlineStr">
        <is>
          <t>Motorcycle Prices &amp; Models</t>
        </is>
      </c>
      <c r="B42" s="3" t="inlineStr">
        <is>
          <t>aerox v3 sp price philippines</t>
        </is>
      </c>
      <c r="C42" s="4" t="n">
        <v>1000</v>
      </c>
      <c r="D42" s="3" t="n">
        <v>0</v>
      </c>
      <c r="E42" s="5" t="inlineStr">
        <is>
          <t>Commercial</t>
        </is>
      </c>
      <c r="F42" s="5" t="inlineStr">
        <is>
          <t>Model price/spec page</t>
        </is>
      </c>
      <c r="G42" s="5" t="inlineStr">
        <is>
          <t>/motorcycles/aerox-v3-sp-price-philippines/</t>
        </is>
      </c>
      <c r="H42" s="6">
        <f>ROUND(MIN(100,LOG10(C42+1)*18+(10-D42)*2+IF(OR(E42="Commercial",E42="Informational / Transactional"),12,5)),0)</f>
        <v/>
      </c>
      <c r="I42" s="6">
        <f>IF(H42&gt;=85,"P1",IF(H42&gt;=70,"P2","P3"))</f>
        <v/>
      </c>
      <c r="J42" s="5" t="inlineStr">
        <is>
          <t>https://ahrefs.com/keywords-explorer</t>
        </is>
      </c>
    </row>
    <row r="43">
      <c r="A43" s="2" t="inlineStr">
        <is>
          <t>Motorcycle Prices &amp; Models</t>
        </is>
      </c>
      <c r="B43" s="3" t="inlineStr">
        <is>
          <t>aerox v3 standard price philippines</t>
        </is>
      </c>
      <c r="C43" s="4" t="n">
        <v>1000</v>
      </c>
      <c r="D43" s="3" t="n">
        <v>0</v>
      </c>
      <c r="E43" s="5" t="inlineStr">
        <is>
          <t>Commercial</t>
        </is>
      </c>
      <c r="F43" s="5" t="inlineStr">
        <is>
          <t>Model price/spec page</t>
        </is>
      </c>
      <c r="G43" s="5" t="inlineStr">
        <is>
          <t>/motorcycles/aerox-v3-standard-price-philippines/</t>
        </is>
      </c>
      <c r="H43" s="6">
        <f>ROUND(MIN(100,LOG10(C43+1)*18+(10-D43)*2+IF(OR(E43="Commercial",E43="Informational / Transactional"),12,5)),0)</f>
        <v/>
      </c>
      <c r="I43" s="6">
        <f>IF(H43&gt;=85,"P1",IF(H43&gt;=70,"P2","P3"))</f>
        <v/>
      </c>
      <c r="J43" s="5" t="inlineStr">
        <is>
          <t>https://ahrefs.com/keywords-explorer</t>
        </is>
      </c>
    </row>
    <row r="44">
      <c r="A44" s="2" t="inlineStr">
        <is>
          <t>Motorcycle Prices &amp; Models</t>
        </is>
      </c>
      <c r="B44" s="3" t="inlineStr">
        <is>
          <t>rusi motorcycle philippines price list</t>
        </is>
      </c>
      <c r="C44" s="4" t="n">
        <v>1000</v>
      </c>
      <c r="D44" s="3" t="n">
        <v>0</v>
      </c>
      <c r="E44" s="5" t="inlineStr">
        <is>
          <t>Commercial</t>
        </is>
      </c>
      <c r="F44" s="5" t="inlineStr">
        <is>
          <t>Brand price-list hub</t>
        </is>
      </c>
      <c r="G44" s="5" t="inlineStr">
        <is>
          <t>/motorcycles/rusi-motorcycle-philippines-price-list/</t>
        </is>
      </c>
      <c r="H44" s="6">
        <f>ROUND(MIN(100,LOG10(C44+1)*18+(10-D44)*2+IF(OR(E44="Commercial",E44="Informational / Transactional"),12,5)),0)</f>
        <v/>
      </c>
      <c r="I44" s="6">
        <f>IF(H44&gt;=85,"P1",IF(H44&gt;=70,"P2","P3"))</f>
        <v/>
      </c>
      <c r="J44" s="5" t="inlineStr">
        <is>
          <t>https://ahrefs.com/keywords-explorer</t>
        </is>
      </c>
    </row>
    <row r="45">
      <c r="A45" s="2" t="inlineStr">
        <is>
          <t>Motorcycle Prices &amp; Models</t>
        </is>
      </c>
      <c r="B45" s="3" t="inlineStr">
        <is>
          <t>honda click v2 price philippines</t>
        </is>
      </c>
      <c r="C45" s="4" t="n">
        <v>900</v>
      </c>
      <c r="D45" s="3" t="n">
        <v>0</v>
      </c>
      <c r="E45" s="5" t="inlineStr">
        <is>
          <t>Commercial</t>
        </is>
      </c>
      <c r="F45" s="5" t="inlineStr">
        <is>
          <t>Model price/spec page</t>
        </is>
      </c>
      <c r="G45" s="5" t="inlineStr">
        <is>
          <t>/motorcycles/honda-click-v2-price-philippines/</t>
        </is>
      </c>
      <c r="H45" s="6">
        <f>ROUND(MIN(100,LOG10(C45+1)*18+(10-D45)*2+IF(OR(E45="Commercial",E45="Informational / Transactional"),12,5)),0)</f>
        <v/>
      </c>
      <c r="I45" s="6">
        <f>IF(H45&gt;=85,"P1",IF(H45&gt;=70,"P2","P3"))</f>
        <v/>
      </c>
      <c r="J45" s="5" t="inlineStr">
        <is>
          <t>https://ahrefs.com/keywords-explorer</t>
        </is>
      </c>
    </row>
    <row r="46">
      <c r="A46" s="2" t="inlineStr">
        <is>
          <t>Motorcycle Prices &amp; Models</t>
        </is>
      </c>
      <c r="B46" s="3" t="inlineStr">
        <is>
          <t>nmax 2025 price philippines</t>
        </is>
      </c>
      <c r="C46" s="4" t="n">
        <v>900</v>
      </c>
      <c r="D46" s="3" t="n">
        <v>0</v>
      </c>
      <c r="E46" s="5" t="inlineStr">
        <is>
          <t>Commercial</t>
        </is>
      </c>
      <c r="F46" s="5" t="inlineStr">
        <is>
          <t>Model price/spec page</t>
        </is>
      </c>
      <c r="G46" s="5" t="inlineStr">
        <is>
          <t>/motorcycles/nmax-2025-price-philippines/</t>
        </is>
      </c>
      <c r="H46" s="6">
        <f>ROUND(MIN(100,LOG10(C46+1)*18+(10-D46)*2+IF(OR(E46="Commercial",E46="Informational / Transactional"),12,5)),0)</f>
        <v/>
      </c>
      <c r="I46" s="6">
        <f>IF(H46&gt;=85,"P1",IF(H46&gt;=70,"P2","P3"))</f>
        <v/>
      </c>
      <c r="J46" s="5" t="inlineStr">
        <is>
          <t>https://ahrefs.com/keywords-explorer</t>
        </is>
      </c>
    </row>
    <row r="47">
      <c r="A47" s="2" t="inlineStr">
        <is>
          <t>Motorcycle Prices &amp; Models</t>
        </is>
      </c>
      <c r="B47" s="3" t="inlineStr">
        <is>
          <t>aerox 2026 price philippines</t>
        </is>
      </c>
      <c r="C47" s="4" t="n">
        <v>800</v>
      </c>
      <c r="D47" s="3" t="n">
        <v>0</v>
      </c>
      <c r="E47" s="5" t="inlineStr">
        <is>
          <t>Commercial</t>
        </is>
      </c>
      <c r="F47" s="5" t="inlineStr">
        <is>
          <t>Model price/spec page</t>
        </is>
      </c>
      <c r="G47" s="5" t="inlineStr">
        <is>
          <t>/motorcycles/aerox-2026-price-philippines/</t>
        </is>
      </c>
      <c r="H47" s="6">
        <f>ROUND(MIN(100,LOG10(C47+1)*18+(10-D47)*2+IF(OR(E47="Commercial",E47="Informational / Transactional"),12,5)),0)</f>
        <v/>
      </c>
      <c r="I47" s="6">
        <f>IF(H47&gt;=85,"P1",IF(H47&gt;=70,"P2","P3"))</f>
        <v/>
      </c>
      <c r="J47" s="5" t="inlineStr">
        <is>
          <t>https://ahrefs.com/keywords-explorer</t>
        </is>
      </c>
    </row>
    <row r="48">
      <c r="A48" s="2" t="inlineStr">
        <is>
          <t>Motorcycle Prices &amp; Models</t>
        </is>
      </c>
      <c r="B48" s="3" t="inlineStr">
        <is>
          <t>electric scooter price philippines</t>
        </is>
      </c>
      <c r="C48" s="4" t="n">
        <v>800</v>
      </c>
      <c r="D48" s="3" t="n">
        <v>0</v>
      </c>
      <c r="E48" s="5" t="inlineStr">
        <is>
          <t>Commercial</t>
        </is>
      </c>
      <c r="F48" s="5" t="inlineStr">
        <is>
          <t>Model price/spec page</t>
        </is>
      </c>
      <c r="G48" s="5" t="inlineStr">
        <is>
          <t>/motorcycles/electric-scooter-price-philippines/</t>
        </is>
      </c>
      <c r="H48" s="6">
        <f>ROUND(MIN(100,LOG10(C48+1)*18+(10-D48)*2+IF(OR(E48="Commercial",E48="Informational / Transactional"),12,5)),0)</f>
        <v/>
      </c>
      <c r="I48" s="6">
        <f>IF(H48&gt;=85,"P1",IF(H48&gt;=70,"P2","P3"))</f>
        <v/>
      </c>
      <c r="J48" s="5" t="inlineStr">
        <is>
          <t>https://ahrefs.com/keywords-explorer</t>
        </is>
      </c>
    </row>
    <row r="49">
      <c r="A49" s="2" t="inlineStr">
        <is>
          <t>Motorcycle Prices &amp; Models</t>
        </is>
      </c>
      <c r="B49" s="3" t="inlineStr">
        <is>
          <t>nmax v3 turbo price philippines</t>
        </is>
      </c>
      <c r="C49" s="4" t="n">
        <v>800</v>
      </c>
      <c r="D49" s="3" t="n">
        <v>0</v>
      </c>
      <c r="E49" s="5" t="inlineStr">
        <is>
          <t>Commercial</t>
        </is>
      </c>
      <c r="F49" s="5" t="inlineStr">
        <is>
          <t>Model price/spec page</t>
        </is>
      </c>
      <c r="G49" s="5" t="inlineStr">
        <is>
          <t>/motorcycles/nmax-v3-turbo-price-philippines/</t>
        </is>
      </c>
      <c r="H49" s="6">
        <f>ROUND(MIN(100,LOG10(C49+1)*18+(10-D49)*2+IF(OR(E49="Commercial",E49="Informational / Transactional"),12,5)),0)</f>
        <v/>
      </c>
      <c r="I49" s="6">
        <f>IF(H49&gt;=85,"P1",IF(H49&gt;=70,"P2","P3"))</f>
        <v/>
      </c>
      <c r="J49" s="5" t="inlineStr">
        <is>
          <t>https://ahrefs.com/keywords-explorer</t>
        </is>
      </c>
    </row>
    <row r="50">
      <c r="A50" s="2" t="inlineStr">
        <is>
          <t>Motorcycle Prices &amp; Models</t>
        </is>
      </c>
      <c r="B50" s="3" t="inlineStr">
        <is>
          <t>aerox version 3 price philippines</t>
        </is>
      </c>
      <c r="C50" s="4" t="n">
        <v>700</v>
      </c>
      <c r="D50" s="3" t="n">
        <v>0</v>
      </c>
      <c r="E50" s="5" t="inlineStr">
        <is>
          <t>Commercial</t>
        </is>
      </c>
      <c r="F50" s="5" t="inlineStr">
        <is>
          <t>Model price/spec page</t>
        </is>
      </c>
      <c r="G50" s="5" t="inlineStr">
        <is>
          <t>/motorcycles/aerox-version-3-price-philippines/</t>
        </is>
      </c>
      <c r="H50" s="6">
        <f>ROUND(MIN(100,LOG10(C50+1)*18+(10-D50)*2+IF(OR(E50="Commercial",E50="Informational / Transactional"),12,5)),0)</f>
        <v/>
      </c>
      <c r="I50" s="6">
        <f>IF(H50&gt;=85,"P1",IF(H50&gt;=70,"P2","P3"))</f>
        <v/>
      </c>
      <c r="J50" s="5" t="inlineStr">
        <is>
          <t>https://ahrefs.com/keywords-explorer</t>
        </is>
      </c>
    </row>
    <row r="51">
      <c r="A51" s="2" t="inlineStr">
        <is>
          <t>Motorcycle Prices &amp; Models</t>
        </is>
      </c>
      <c r="B51" s="3" t="inlineStr">
        <is>
          <t>vespa scooter price philippines</t>
        </is>
      </c>
      <c r="C51" s="4" t="n">
        <v>700</v>
      </c>
      <c r="D51" s="3" t="n">
        <v>0</v>
      </c>
      <c r="E51" s="5" t="inlineStr">
        <is>
          <t>Commercial</t>
        </is>
      </c>
      <c r="F51" s="5" t="inlineStr">
        <is>
          <t>Model price/spec page</t>
        </is>
      </c>
      <c r="G51" s="5" t="inlineStr">
        <is>
          <t>/motorcycles/vespa-scooter-price-philippines/</t>
        </is>
      </c>
      <c r="H51" s="6">
        <f>ROUND(MIN(100,LOG10(C51+1)*18+(10-D51)*2+IF(OR(E51="Commercial",E51="Informational / Transactional"),12,5)),0)</f>
        <v/>
      </c>
      <c r="I51" s="6">
        <f>IF(H51&gt;=85,"P1",IF(H51&gt;=70,"P2","P3"))</f>
        <v/>
      </c>
      <c r="J51" s="5" t="inlineStr">
        <is>
          <t>https://ahrefs.com/keywords-explorer</t>
        </is>
      </c>
    </row>
    <row r="52">
      <c r="A52" s="2" t="inlineStr">
        <is>
          <t>Motorcycle Prices &amp; Models</t>
        </is>
      </c>
      <c r="B52" s="3" t="inlineStr">
        <is>
          <t>x adv 750 price philippines</t>
        </is>
      </c>
      <c r="C52" s="4" t="n">
        <v>700</v>
      </c>
      <c r="D52" s="3" t="n">
        <v>0</v>
      </c>
      <c r="E52" s="5" t="inlineStr">
        <is>
          <t>Commercial</t>
        </is>
      </c>
      <c r="F52" s="5" t="inlineStr">
        <is>
          <t>Model price/spec page</t>
        </is>
      </c>
      <c r="G52" s="5" t="inlineStr">
        <is>
          <t>/motorcycles/x-adv-750-price-philippines/</t>
        </is>
      </c>
      <c r="H52" s="6">
        <f>ROUND(MIN(100,LOG10(C52+1)*18+(10-D52)*2+IF(OR(E52="Commercial",E52="Informational / Transactional"),12,5)),0)</f>
        <v/>
      </c>
      <c r="I52" s="6">
        <f>IF(H52&gt;=85,"P1",IF(H52&gt;=70,"P2","P3"))</f>
        <v/>
      </c>
      <c r="J52" s="5" t="inlineStr">
        <is>
          <t>https://ahrefs.com/keywords-explorer</t>
        </is>
      </c>
    </row>
    <row r="53">
      <c r="A53" s="2" t="inlineStr">
        <is>
          <t>Motorcycle Prices &amp; Models</t>
        </is>
      </c>
      <c r="B53" s="3" t="inlineStr">
        <is>
          <t>honda adv 160 price philippines 2026</t>
        </is>
      </c>
      <c r="C53" s="4" t="n">
        <v>600</v>
      </c>
      <c r="D53" s="3" t="n">
        <v>0</v>
      </c>
      <c r="E53" s="5" t="inlineStr">
        <is>
          <t>Commercial</t>
        </is>
      </c>
      <c r="F53" s="5" t="inlineStr">
        <is>
          <t>Model price/spec page</t>
        </is>
      </c>
      <c r="G53" s="5" t="inlineStr">
        <is>
          <t>/motorcycles/honda-adv-160-price-philippines-2026/</t>
        </is>
      </c>
      <c r="H53" s="6">
        <f>ROUND(MIN(100,LOG10(C53+1)*18+(10-D53)*2+IF(OR(E53="Commercial",E53="Informational / Transactional"),12,5)),0)</f>
        <v/>
      </c>
      <c r="I53" s="6">
        <f>IF(H53&gt;=85,"P1",IF(H53&gt;=70,"P2","P3"))</f>
        <v/>
      </c>
      <c r="J53" s="5" t="inlineStr">
        <is>
          <t>https://ahrefs.com/keywords-explorer</t>
        </is>
      </c>
    </row>
    <row r="54">
      <c r="A54" s="2" t="inlineStr">
        <is>
          <t>Motorcycle Prices &amp; Models</t>
        </is>
      </c>
      <c r="B54" s="3" t="inlineStr">
        <is>
          <t>honda adv price philippines</t>
        </is>
      </c>
      <c r="C54" s="4" t="n">
        <v>600</v>
      </c>
      <c r="D54" s="3" t="n">
        <v>0</v>
      </c>
      <c r="E54" s="5" t="inlineStr">
        <is>
          <t>Commercial</t>
        </is>
      </c>
      <c r="F54" s="5" t="inlineStr">
        <is>
          <t>Model price/spec page</t>
        </is>
      </c>
      <c r="G54" s="5" t="inlineStr">
        <is>
          <t>/motorcycles/honda-adv-price-philippines/</t>
        </is>
      </c>
      <c r="H54" s="6">
        <f>ROUND(MIN(100,LOG10(C54+1)*18+(10-D54)*2+IF(OR(E54="Commercial",E54="Informational / Transactional"),12,5)),0)</f>
        <v/>
      </c>
      <c r="I54" s="6">
        <f>IF(H54&gt;=85,"P1",IF(H54&gt;=70,"P2","P3"))</f>
        <v/>
      </c>
      <c r="J54" s="5" t="inlineStr">
        <is>
          <t>https://ahrefs.com/keywords-explorer</t>
        </is>
      </c>
    </row>
    <row r="55">
      <c r="A55" s="2" t="inlineStr">
        <is>
          <t>Motorcycle Prices &amp; Models</t>
        </is>
      </c>
      <c r="B55" s="3" t="inlineStr">
        <is>
          <t>nmax 160 price philippines</t>
        </is>
      </c>
      <c r="C55" s="4" t="n">
        <v>600</v>
      </c>
      <c r="D55" s="3" t="n">
        <v>0</v>
      </c>
      <c r="E55" s="5" t="inlineStr">
        <is>
          <t>Commercial</t>
        </is>
      </c>
      <c r="F55" s="5" t="inlineStr">
        <is>
          <t>Model price/spec page</t>
        </is>
      </c>
      <c r="G55" s="5" t="inlineStr">
        <is>
          <t>/motorcycles/nmax-160-price-philippines/</t>
        </is>
      </c>
      <c r="H55" s="6">
        <f>ROUND(MIN(100,LOG10(C55+1)*18+(10-D55)*2+IF(OR(E55="Commercial",E55="Informational / Transactional"),12,5)),0)</f>
        <v/>
      </c>
      <c r="I55" s="6">
        <f>IF(H55&gt;=85,"P1",IF(H55&gt;=70,"P2","P3"))</f>
        <v/>
      </c>
      <c r="J55" s="5" t="inlineStr">
        <is>
          <t>https://ahrefs.com/keywords-explorer</t>
        </is>
      </c>
    </row>
    <row r="56">
      <c r="A56" s="2" t="inlineStr">
        <is>
          <t>Motorcycle Prices &amp; Models</t>
        </is>
      </c>
      <c r="B56" s="3" t="inlineStr">
        <is>
          <t>bmw motorcycle price philippines</t>
        </is>
      </c>
      <c r="C56" s="4" t="n">
        <v>500</v>
      </c>
      <c r="D56" s="3" t="n">
        <v>0</v>
      </c>
      <c r="E56" s="5" t="inlineStr">
        <is>
          <t>Commercial</t>
        </is>
      </c>
      <c r="F56" s="5" t="inlineStr">
        <is>
          <t>Model price/spec page</t>
        </is>
      </c>
      <c r="G56" s="5" t="inlineStr">
        <is>
          <t>/motorcycles/bmw-motorcycle-price-philippines/</t>
        </is>
      </c>
      <c r="H56" s="6">
        <f>ROUND(MIN(100,LOG10(C56+1)*18+(10-D56)*2+IF(OR(E56="Commercial",E56="Informational / Transactional"),12,5)),0)</f>
        <v/>
      </c>
      <c r="I56" s="6">
        <f>IF(H56&gt;=85,"P1",IF(H56&gt;=70,"P2","P3"))</f>
        <v/>
      </c>
      <c r="J56" s="5" t="inlineStr">
        <is>
          <t>https://ahrefs.com/keywords-explorer</t>
        </is>
      </c>
    </row>
    <row r="57">
      <c r="A57" s="2" t="inlineStr">
        <is>
          <t>Motorcycle Prices &amp; Models</t>
        </is>
      </c>
      <c r="B57" s="3" t="inlineStr">
        <is>
          <t>x adv price philippines</t>
        </is>
      </c>
      <c r="C57" s="4" t="n">
        <v>500</v>
      </c>
      <c r="D57" s="3" t="n">
        <v>0</v>
      </c>
      <c r="E57" s="5" t="inlineStr">
        <is>
          <t>Commercial</t>
        </is>
      </c>
      <c r="F57" s="5" t="inlineStr">
        <is>
          <t>Model price/spec page</t>
        </is>
      </c>
      <c r="G57" s="5" t="inlineStr">
        <is>
          <t>/motorcycles/x-adv-price-philippines/</t>
        </is>
      </c>
      <c r="H57" s="6">
        <f>ROUND(MIN(100,LOG10(C57+1)*18+(10-D57)*2+IF(OR(E57="Commercial",E57="Informational / Transactional"),12,5)),0)</f>
        <v/>
      </c>
      <c r="I57" s="6">
        <f>IF(H57&gt;=85,"P1",IF(H57&gt;=70,"P2","P3"))</f>
        <v/>
      </c>
      <c r="J57" s="5" t="inlineStr">
        <is>
          <t>https://ahrefs.com/keywords-explorer</t>
        </is>
      </c>
    </row>
    <row r="58">
      <c r="A58" s="2" t="inlineStr">
        <is>
          <t>Motorcycle Prices &amp; Models</t>
        </is>
      </c>
      <c r="B58" s="3" t="inlineStr">
        <is>
          <t>suzuki motorcycle parts</t>
        </is>
      </c>
      <c r="C58" s="4" t="n">
        <v>60</v>
      </c>
      <c r="D58" s="3" t="n">
        <v>4</v>
      </c>
      <c r="E58" s="5" t="inlineStr">
        <is>
          <t>Informational</t>
        </is>
      </c>
      <c r="F58" s="5" t="inlineStr">
        <is>
          <t>Model price/spec page</t>
        </is>
      </c>
      <c r="G58" s="5" t="inlineStr">
        <is>
          <t>/motorcycles/suzuki-motorcycle-parts/</t>
        </is>
      </c>
      <c r="H58" s="6">
        <f>ROUND(MIN(100,LOG10(C58+1)*18+(10-D58)*2+IF(OR(E58="Commercial",E58="Informational / Transactional"),12,5)),0)</f>
        <v/>
      </c>
      <c r="I58" s="6">
        <f>IF(H58&gt;=85,"P1",IF(H58&gt;=70,"P2","P3"))</f>
        <v/>
      </c>
      <c r="J58" s="5" t="inlineStr">
        <is>
          <t>https://ahrefs.com/keywords-explorer</t>
        </is>
      </c>
    </row>
    <row r="59">
      <c r="A59" s="2" t="inlineStr">
        <is>
          <t>Tires &amp; Fitment</t>
        </is>
      </c>
      <c r="B59" s="3" t="inlineStr">
        <is>
          <t>adv 160 tire size</t>
        </is>
      </c>
      <c r="C59" s="4" t="n">
        <v>2200</v>
      </c>
      <c r="D59" s="3" t="n">
        <v>0</v>
      </c>
      <c r="E59" s="5" t="inlineStr">
        <is>
          <t>Commercial</t>
        </is>
      </c>
      <c r="F59" s="5" t="inlineStr">
        <is>
          <t>Model fitment/spec page</t>
        </is>
      </c>
      <c r="G59" s="5" t="inlineStr">
        <is>
          <t>/tires/adv-160-tire-size/</t>
        </is>
      </c>
      <c r="H59" s="6">
        <f>ROUND(MIN(100,LOG10(C59+1)*18+(10-D59)*2+IF(OR(E59="Commercial",E59="Informational / Transactional"),12,5)),0)</f>
        <v/>
      </c>
      <c r="I59" s="6">
        <f>IF(H59&gt;=85,"P1",IF(H59&gt;=70,"P2","P3"))</f>
        <v/>
      </c>
      <c r="J59" s="5" t="inlineStr">
        <is>
          <t>https://ahrefs.com/keywords-explorer</t>
        </is>
      </c>
    </row>
    <row r="60">
      <c r="A60" s="2" t="inlineStr">
        <is>
          <t>Tires &amp; Fitment</t>
        </is>
      </c>
      <c r="B60" s="3" t="inlineStr">
        <is>
          <t>aerox tire size</t>
        </is>
      </c>
      <c r="C60" s="4" t="n">
        <v>1700</v>
      </c>
      <c r="D60" s="3" t="n">
        <v>0</v>
      </c>
      <c r="E60" s="5" t="inlineStr">
        <is>
          <t>Commercial</t>
        </is>
      </c>
      <c r="F60" s="5" t="inlineStr">
        <is>
          <t>Model fitment/spec page</t>
        </is>
      </c>
      <c r="G60" s="5" t="inlineStr">
        <is>
          <t>/tires/aerox-tire-size/</t>
        </is>
      </c>
      <c r="H60" s="6">
        <f>ROUND(MIN(100,LOG10(C60+1)*18+(10-D60)*2+IF(OR(E60="Commercial",E60="Informational / Transactional"),12,5)),0)</f>
        <v/>
      </c>
      <c r="I60" s="6">
        <f>IF(H60&gt;=85,"P1",IF(H60&gt;=70,"P2","P3"))</f>
        <v/>
      </c>
      <c r="J60" s="5" t="inlineStr">
        <is>
          <t>https://ahrefs.com/keywords-explorer</t>
        </is>
      </c>
    </row>
    <row r="61">
      <c r="A61" s="2" t="inlineStr">
        <is>
          <t>Tires &amp; Fitment</t>
        </is>
      </c>
      <c r="B61" s="3" t="inlineStr">
        <is>
          <t>aerox v2 tire size</t>
        </is>
      </c>
      <c r="C61" s="4" t="n">
        <v>1400</v>
      </c>
      <c r="D61" s="3" t="n">
        <v>0</v>
      </c>
      <c r="E61" s="5" t="inlineStr">
        <is>
          <t>Commercial</t>
        </is>
      </c>
      <c r="F61" s="5" t="inlineStr">
        <is>
          <t>Model fitment/spec page</t>
        </is>
      </c>
      <c r="G61" s="5" t="inlineStr">
        <is>
          <t>/tires/aerox-v2-tire-size/</t>
        </is>
      </c>
      <c r="H61" s="6">
        <f>ROUND(MIN(100,LOG10(C61+1)*18+(10-D61)*2+IF(OR(E61="Commercial",E61="Informational / Transactional"),12,5)),0)</f>
        <v/>
      </c>
      <c r="I61" s="6">
        <f>IF(H61&gt;=85,"P1",IF(H61&gt;=70,"P2","P3"))</f>
        <v/>
      </c>
      <c r="J61" s="5" t="inlineStr">
        <is>
          <t>https://ahrefs.com/keywords-explorer</t>
        </is>
      </c>
    </row>
    <row r="62">
      <c r="A62" s="2" t="inlineStr">
        <is>
          <t>Tires &amp; Fitment</t>
        </is>
      </c>
      <c r="B62" s="3" t="inlineStr">
        <is>
          <t>nmax tire size</t>
        </is>
      </c>
      <c r="C62" s="4" t="n">
        <v>1200</v>
      </c>
      <c r="D62" s="3" t="n">
        <v>0</v>
      </c>
      <c r="E62" s="5" t="inlineStr">
        <is>
          <t>Commercial</t>
        </is>
      </c>
      <c r="F62" s="5" t="inlineStr">
        <is>
          <t>Model fitment/spec page</t>
        </is>
      </c>
      <c r="G62" s="5" t="inlineStr">
        <is>
          <t>/tires/nmax-tire-size/</t>
        </is>
      </c>
      <c r="H62" s="6">
        <f>ROUND(MIN(100,LOG10(C62+1)*18+(10-D62)*2+IF(OR(E62="Commercial",E62="Informational / Transactional"),12,5)),0)</f>
        <v/>
      </c>
      <c r="I62" s="6">
        <f>IF(H62&gt;=85,"P1",IF(H62&gt;=70,"P2","P3"))</f>
        <v/>
      </c>
      <c r="J62" s="5" t="inlineStr">
        <is>
          <t>https://ahrefs.com/keywords-explorer</t>
        </is>
      </c>
    </row>
    <row r="63">
      <c r="A63" s="2" t="inlineStr">
        <is>
          <t>Tires &amp; Fitment</t>
        </is>
      </c>
      <c r="B63" s="3" t="inlineStr">
        <is>
          <t>honda click tire size</t>
        </is>
      </c>
      <c r="C63" s="4" t="n">
        <v>1100</v>
      </c>
      <c r="D63" s="3" t="n">
        <v>0</v>
      </c>
      <c r="E63" s="5" t="inlineStr">
        <is>
          <t>Commercial</t>
        </is>
      </c>
      <c r="F63" s="5" t="inlineStr">
        <is>
          <t>Model fitment/spec page</t>
        </is>
      </c>
      <c r="G63" s="5" t="inlineStr">
        <is>
          <t>/tires/honda-click-tire-size/</t>
        </is>
      </c>
      <c r="H63" s="6">
        <f>ROUND(MIN(100,LOG10(C63+1)*18+(10-D63)*2+IF(OR(E63="Commercial",E63="Informational / Transactional"),12,5)),0)</f>
        <v/>
      </c>
      <c r="I63" s="6">
        <f>IF(H63&gt;=85,"P1",IF(H63&gt;=70,"P2","P3"))</f>
        <v/>
      </c>
      <c r="J63" s="5" t="inlineStr">
        <is>
          <t>https://ahrefs.com/keywords-explorer</t>
        </is>
      </c>
    </row>
    <row r="64">
      <c r="A64" s="2" t="inlineStr">
        <is>
          <t>Tires &amp; Fitment</t>
        </is>
      </c>
      <c r="B64" s="3" t="inlineStr">
        <is>
          <t>nmax v2 tire size</t>
        </is>
      </c>
      <c r="C64" s="4" t="n">
        <v>1100</v>
      </c>
      <c r="D64" s="3" t="n">
        <v>0</v>
      </c>
      <c r="E64" s="5" t="inlineStr">
        <is>
          <t>Commercial</t>
        </is>
      </c>
      <c r="F64" s="5" t="inlineStr">
        <is>
          <t>Model fitment/spec page</t>
        </is>
      </c>
      <c r="G64" s="5" t="inlineStr">
        <is>
          <t>/tires/nmax-v2-tire-size/</t>
        </is>
      </c>
      <c r="H64" s="6">
        <f>ROUND(MIN(100,LOG10(C64+1)*18+(10-D64)*2+IF(OR(E64="Commercial",E64="Informational / Transactional"),12,5)),0)</f>
        <v/>
      </c>
      <c r="I64" s="6">
        <f>IF(H64&gt;=85,"P1",IF(H64&gt;=70,"P2","P3"))</f>
        <v/>
      </c>
      <c r="J64" s="5" t="inlineStr">
        <is>
          <t>https://ahrefs.com/keywords-explorer</t>
        </is>
      </c>
    </row>
    <row r="65">
      <c r="A65" s="2" t="inlineStr">
        <is>
          <t>Tires &amp; Fitment</t>
        </is>
      </c>
      <c r="B65" s="3" t="inlineStr">
        <is>
          <t>aerox stock tire size</t>
        </is>
      </c>
      <c r="C65" s="4" t="n">
        <v>800</v>
      </c>
      <c r="D65" s="3" t="n">
        <v>0</v>
      </c>
      <c r="E65" s="5" t="inlineStr">
        <is>
          <t>Commercial</t>
        </is>
      </c>
      <c r="F65" s="5" t="inlineStr">
        <is>
          <t>Model fitment/spec page</t>
        </is>
      </c>
      <c r="G65" s="5" t="inlineStr">
        <is>
          <t>/tires/aerox-stock-tire-size/</t>
        </is>
      </c>
      <c r="H65" s="6">
        <f>ROUND(MIN(100,LOG10(C65+1)*18+(10-D65)*2+IF(OR(E65="Commercial",E65="Informational / Transactional"),12,5)),0)</f>
        <v/>
      </c>
      <c r="I65" s="6">
        <f>IF(H65&gt;=85,"P1",IF(H65&gt;=70,"P2","P3"))</f>
        <v/>
      </c>
      <c r="J65" s="5" t="inlineStr">
        <is>
          <t>https://ahrefs.com/keywords-explorer</t>
        </is>
      </c>
    </row>
    <row r="66">
      <c r="A66" s="2" t="inlineStr">
        <is>
          <t>Tires &amp; Fitment</t>
        </is>
      </c>
      <c r="B66" s="3" t="inlineStr">
        <is>
          <t>honda click v3 tire size</t>
        </is>
      </c>
      <c r="C66" s="4" t="n">
        <v>600</v>
      </c>
      <c r="D66" s="3" t="n">
        <v>0</v>
      </c>
      <c r="E66" s="5" t="inlineStr">
        <is>
          <t>Commercial</t>
        </is>
      </c>
      <c r="F66" s="5" t="inlineStr">
        <is>
          <t>Model fitment/spec page</t>
        </is>
      </c>
      <c r="G66" s="5" t="inlineStr">
        <is>
          <t>/tires/honda-click-v3-tire-size/</t>
        </is>
      </c>
      <c r="H66" s="6">
        <f>ROUND(MIN(100,LOG10(C66+1)*18+(10-D66)*2+IF(OR(E66="Commercial",E66="Informational / Transactional"),12,5)),0)</f>
        <v/>
      </c>
      <c r="I66" s="6">
        <f>IF(H66&gt;=85,"P1",IF(H66&gt;=70,"P2","P3"))</f>
        <v/>
      </c>
      <c r="J66" s="5" t="inlineStr">
        <is>
          <t>https://ahrefs.com/keywords-explorer</t>
        </is>
      </c>
    </row>
    <row r="67">
      <c r="A67" s="2" t="inlineStr">
        <is>
          <t>Tires &amp; Fitment</t>
        </is>
      </c>
      <c r="B67" s="3" t="inlineStr">
        <is>
          <t>motorcycle tire size chart</t>
        </is>
      </c>
      <c r="C67" s="4" t="n">
        <v>600</v>
      </c>
      <c r="D67" s="3" t="n">
        <v>1</v>
      </c>
      <c r="E67" s="5" t="inlineStr">
        <is>
          <t>Commercial</t>
        </is>
      </c>
      <c r="F67" s="5" t="inlineStr">
        <is>
          <t>Model fitment/spec page</t>
        </is>
      </c>
      <c r="G67" s="5" t="inlineStr">
        <is>
          <t>/tires/motorcycle-tire-size-chart/</t>
        </is>
      </c>
      <c r="H67" s="6">
        <f>ROUND(MIN(100,LOG10(C67+1)*18+(10-D67)*2+IF(OR(E67="Commercial",E67="Informational / Transactional"),12,5)),0)</f>
        <v/>
      </c>
      <c r="I67" s="6">
        <f>IF(H67&gt;=85,"P1",IF(H67&gt;=70,"P2","P3"))</f>
        <v/>
      </c>
      <c r="J67" s="5" t="inlineStr">
        <is>
          <t>https://ahrefs.com/keywords-explorer</t>
        </is>
      </c>
    </row>
    <row r="68">
      <c r="A68" s="2" t="inlineStr">
        <is>
          <t>Tires &amp; Fitment</t>
        </is>
      </c>
      <c r="B68" s="3" t="inlineStr">
        <is>
          <t>aerox v2 stock tire size</t>
        </is>
      </c>
      <c r="C68" s="4" t="n">
        <v>500</v>
      </c>
      <c r="D68" s="3" t="n">
        <v>0</v>
      </c>
      <c r="E68" s="5" t="inlineStr">
        <is>
          <t>Commercial</t>
        </is>
      </c>
      <c r="F68" s="5" t="inlineStr">
        <is>
          <t>Model fitment/spec page</t>
        </is>
      </c>
      <c r="G68" s="5" t="inlineStr">
        <is>
          <t>/tires/aerox-v2-stock-tire-size/</t>
        </is>
      </c>
      <c r="H68" s="6">
        <f>ROUND(MIN(100,LOG10(C68+1)*18+(10-D68)*2+IF(OR(E68="Commercial",E68="Informational / Transactional"),12,5)),0)</f>
        <v/>
      </c>
      <c r="I68" s="6">
        <f>IF(H68&gt;=85,"P1",IF(H68&gt;=70,"P2","P3"))</f>
        <v/>
      </c>
      <c r="J68" s="5" t="inlineStr">
        <is>
          <t>https://ahrefs.com/keywords-explorer</t>
        </is>
      </c>
    </row>
    <row r="69">
      <c r="A69" s="2" t="inlineStr">
        <is>
          <t>Tires &amp; Fitment</t>
        </is>
      </c>
      <c r="B69" s="3" t="inlineStr">
        <is>
          <t>honda click 125i tire size</t>
        </is>
      </c>
      <c r="C69" s="4" t="n">
        <v>500</v>
      </c>
      <c r="D69" s="3" t="n">
        <v>0</v>
      </c>
      <c r="E69" s="5" t="inlineStr">
        <is>
          <t>Commercial</t>
        </is>
      </c>
      <c r="F69" s="5" t="inlineStr">
        <is>
          <t>Model fitment/spec page</t>
        </is>
      </c>
      <c r="G69" s="5" t="inlineStr">
        <is>
          <t>/tires/honda-click-125i-tire-size/</t>
        </is>
      </c>
      <c r="H69" s="6">
        <f>ROUND(MIN(100,LOG10(C69+1)*18+(10-D69)*2+IF(OR(E69="Commercial",E69="Informational / Transactional"),12,5)),0)</f>
        <v/>
      </c>
      <c r="I69" s="6">
        <f>IF(H69&gt;=85,"P1",IF(H69&gt;=70,"P2","P3"))</f>
        <v/>
      </c>
      <c r="J69" s="5" t="inlineStr">
        <is>
          <t>https://ahrefs.com/keywords-explorer</t>
        </is>
      </c>
    </row>
    <row r="70">
      <c r="A70" s="2" t="inlineStr">
        <is>
          <t>Tires &amp; Fitment</t>
        </is>
      </c>
      <c r="B70" s="3" t="inlineStr">
        <is>
          <t>motorcycle tire</t>
        </is>
      </c>
      <c r="C70" s="4" t="n">
        <v>500</v>
      </c>
      <c r="D70" s="3" t="n">
        <v>7</v>
      </c>
      <c r="E70" s="5" t="inlineStr">
        <is>
          <t>Commercial</t>
        </is>
      </c>
      <c r="F70" s="5" t="inlineStr">
        <is>
          <t>Category/product guide</t>
        </is>
      </c>
      <c r="G70" s="5" t="inlineStr">
        <is>
          <t>/tires/motorcycle-tire/</t>
        </is>
      </c>
      <c r="H70" s="6">
        <f>ROUND(MIN(100,LOG10(C70+1)*18+(10-D70)*2+IF(OR(E70="Commercial",E70="Informational / Transactional"),12,5)),0)</f>
        <v/>
      </c>
      <c r="I70" s="6">
        <f>IF(H70&gt;=85,"P1",IF(H70&gt;=70,"P2","P3"))</f>
        <v/>
      </c>
      <c r="J70" s="5" t="inlineStr">
        <is>
          <t>https://ahrefs.com/keywords-explorer</t>
        </is>
      </c>
    </row>
    <row r="71">
      <c r="A71" s="2" t="inlineStr">
        <is>
          <t>Tires &amp; Fitment</t>
        </is>
      </c>
      <c r="B71" s="3" t="inlineStr">
        <is>
          <t>aerox v1 tire size</t>
        </is>
      </c>
      <c r="C71" s="4" t="n">
        <v>400</v>
      </c>
      <c r="D71" s="3" t="n">
        <v>0</v>
      </c>
      <c r="E71" s="5" t="inlineStr">
        <is>
          <t>Commercial</t>
        </is>
      </c>
      <c r="F71" s="5" t="inlineStr">
        <is>
          <t>Model fitment/spec page</t>
        </is>
      </c>
      <c r="G71" s="5" t="inlineStr">
        <is>
          <t>/tires/aerox-v1-tire-size/</t>
        </is>
      </c>
      <c r="H71" s="6">
        <f>ROUND(MIN(100,LOG10(C71+1)*18+(10-D71)*2+IF(OR(E71="Commercial",E71="Informational / Transactional"),12,5)),0)</f>
        <v/>
      </c>
      <c r="I71" s="6">
        <f>IF(H71&gt;=85,"P1",IF(H71&gt;=70,"P2","P3"))</f>
        <v/>
      </c>
      <c r="J71" s="5" t="inlineStr">
        <is>
          <t>https://ahrefs.com/keywords-explorer</t>
        </is>
      </c>
    </row>
    <row r="72">
      <c r="A72" s="2" t="inlineStr">
        <is>
          <t>Tires &amp; Fitment</t>
        </is>
      </c>
      <c r="B72" s="3" t="inlineStr">
        <is>
          <t>flat tire motorcycle</t>
        </is>
      </c>
      <c r="C72" s="4" t="n">
        <v>300</v>
      </c>
      <c r="D72" s="3" t="n">
        <v>0</v>
      </c>
      <c r="E72" s="5" t="inlineStr">
        <is>
          <t>Commercial</t>
        </is>
      </c>
      <c r="F72" s="5" t="inlineStr">
        <is>
          <t>Category/product guide</t>
        </is>
      </c>
      <c r="G72" s="5" t="inlineStr">
        <is>
          <t>/tires/flat-tire-motorcycle/</t>
        </is>
      </c>
      <c r="H72" s="6">
        <f>ROUND(MIN(100,LOG10(C72+1)*18+(10-D72)*2+IF(OR(E72="Commercial",E72="Informational / Transactional"),12,5)),0)</f>
        <v/>
      </c>
      <c r="I72" s="6">
        <f>IF(H72&gt;=85,"P1",IF(H72&gt;=70,"P2","P3"))</f>
        <v/>
      </c>
      <c r="J72" s="5" t="inlineStr">
        <is>
          <t>https://ahrefs.com/keywords-explorer</t>
        </is>
      </c>
    </row>
    <row r="73">
      <c r="A73" s="2" t="inlineStr">
        <is>
          <t>Tires &amp; Fitment</t>
        </is>
      </c>
      <c r="B73" s="3" t="inlineStr">
        <is>
          <t>nmax stock tire size</t>
        </is>
      </c>
      <c r="C73" s="4" t="n">
        <v>300</v>
      </c>
      <c r="D73" s="3" t="n">
        <v>0</v>
      </c>
      <c r="E73" s="5" t="inlineStr">
        <is>
          <t>Commercial</t>
        </is>
      </c>
      <c r="F73" s="5" t="inlineStr">
        <is>
          <t>Model fitment/spec page</t>
        </is>
      </c>
      <c r="G73" s="5" t="inlineStr">
        <is>
          <t>/tires/nmax-stock-tire-size/</t>
        </is>
      </c>
      <c r="H73" s="6">
        <f>ROUND(MIN(100,LOG10(C73+1)*18+(10-D73)*2+IF(OR(E73="Commercial",E73="Informational / Transactional"),12,5)),0)</f>
        <v/>
      </c>
      <c r="I73" s="6">
        <f>IF(H73&gt;=85,"P1",IF(H73&gt;=70,"P2","P3"))</f>
        <v/>
      </c>
      <c r="J73" s="5" t="inlineStr">
        <is>
          <t>https://ahrefs.com/keywords-explorer</t>
        </is>
      </c>
    </row>
    <row r="74">
      <c r="A74" s="2" t="inlineStr">
        <is>
          <t>Tires &amp; Fitment</t>
        </is>
      </c>
      <c r="B74" s="3" t="inlineStr">
        <is>
          <t>nmax v1 tire size</t>
        </is>
      </c>
      <c r="C74" s="4" t="n">
        <v>300</v>
      </c>
      <c r="D74" s="3" t="n">
        <v>0</v>
      </c>
      <c r="E74" s="5" t="inlineStr">
        <is>
          <t>Commercial</t>
        </is>
      </c>
      <c r="F74" s="5" t="inlineStr">
        <is>
          <t>Model fitment/spec page</t>
        </is>
      </c>
      <c r="G74" s="5" t="inlineStr">
        <is>
          <t>/tires/nmax-v1-tire-size/</t>
        </is>
      </c>
      <c r="H74" s="6">
        <f>ROUND(MIN(100,LOG10(C74+1)*18+(10-D74)*2+IF(OR(E74="Commercial",E74="Informational / Transactional"),12,5)),0)</f>
        <v/>
      </c>
      <c r="I74" s="6">
        <f>IF(H74&gt;=85,"P1",IF(H74&gt;=70,"P2","P3"))</f>
        <v/>
      </c>
      <c r="J74" s="5" t="inlineStr">
        <is>
          <t>https://ahrefs.com/keywords-explorer</t>
        </is>
      </c>
    </row>
    <row r="75">
      <c r="A75" s="2" t="inlineStr">
        <is>
          <t>Tires &amp; Fitment</t>
        </is>
      </c>
      <c r="B75" s="3" t="inlineStr">
        <is>
          <t>nmax v2 stock tire size</t>
        </is>
      </c>
      <c r="C75" s="4" t="n">
        <v>300</v>
      </c>
      <c r="D75" s="3" t="n">
        <v>0</v>
      </c>
      <c r="E75" s="5" t="inlineStr">
        <is>
          <t>Commercial</t>
        </is>
      </c>
      <c r="F75" s="5" t="inlineStr">
        <is>
          <t>Model fitment/spec page</t>
        </is>
      </c>
      <c r="G75" s="5" t="inlineStr">
        <is>
          <t>/tires/nmax-v2-stock-tire-size/</t>
        </is>
      </c>
      <c r="H75" s="6">
        <f>ROUND(MIN(100,LOG10(C75+1)*18+(10-D75)*2+IF(OR(E75="Commercial",E75="Informational / Transactional"),12,5)),0)</f>
        <v/>
      </c>
      <c r="I75" s="6">
        <f>IF(H75&gt;=85,"P1",IF(H75&gt;=70,"P2","P3"))</f>
        <v/>
      </c>
      <c r="J75" s="5" t="inlineStr">
        <is>
          <t>https://ahrefs.com/keywords-explorer</t>
        </is>
      </c>
    </row>
    <row r="76">
      <c r="A76" s="2" t="inlineStr">
        <is>
          <t>Tires &amp; Fitment</t>
        </is>
      </c>
      <c r="B76" s="3" t="inlineStr">
        <is>
          <t>aerox front tire size</t>
        </is>
      </c>
      <c r="C76" s="4" t="n">
        <v>250</v>
      </c>
      <c r="D76" s="3" t="n">
        <v>0</v>
      </c>
      <c r="E76" s="5" t="inlineStr">
        <is>
          <t>Commercial</t>
        </is>
      </c>
      <c r="F76" s="5" t="inlineStr">
        <is>
          <t>Model fitment/spec page</t>
        </is>
      </c>
      <c r="G76" s="5" t="inlineStr">
        <is>
          <t>/tires/aerox-front-tire-size/</t>
        </is>
      </c>
      <c r="H76" s="6">
        <f>ROUND(MIN(100,LOG10(C76+1)*18+(10-D76)*2+IF(OR(E76="Commercial",E76="Informational / Transactional"),12,5)),0)</f>
        <v/>
      </c>
      <c r="I76" s="6">
        <f>IF(H76&gt;=85,"P1",IF(H76&gt;=70,"P2","P3"))</f>
        <v/>
      </c>
      <c r="J76" s="5" t="inlineStr">
        <is>
          <t>https://ahrefs.com/keywords-explorer</t>
        </is>
      </c>
    </row>
    <row r="77">
      <c r="A77" s="2" t="inlineStr">
        <is>
          <t>Tires &amp; Fitment</t>
        </is>
      </c>
      <c r="B77" s="3" t="inlineStr">
        <is>
          <t>honda click 160 tire size</t>
        </is>
      </c>
      <c r="C77" s="4" t="n">
        <v>250</v>
      </c>
      <c r="D77" s="3" t="n">
        <v>0</v>
      </c>
      <c r="E77" s="5" t="inlineStr">
        <is>
          <t>Commercial</t>
        </is>
      </c>
      <c r="F77" s="5" t="inlineStr">
        <is>
          <t>Model fitment/spec page</t>
        </is>
      </c>
      <c r="G77" s="5" t="inlineStr">
        <is>
          <t>/tires/honda-click-160-tire-size/</t>
        </is>
      </c>
      <c r="H77" s="6">
        <f>ROUND(MIN(100,LOG10(C77+1)*18+(10-D77)*2+IF(OR(E77="Commercial",E77="Informational / Transactional"),12,5)),0)</f>
        <v/>
      </c>
      <c r="I77" s="6">
        <f>IF(H77&gt;=85,"P1",IF(H77&gt;=70,"P2","P3"))</f>
        <v/>
      </c>
      <c r="J77" s="5" t="inlineStr">
        <is>
          <t>https://ahrefs.com/keywords-explorer</t>
        </is>
      </c>
    </row>
    <row r="78">
      <c r="A78" s="2" t="inlineStr">
        <is>
          <t>Tires &amp; Fitment</t>
        </is>
      </c>
      <c r="B78" s="3" t="inlineStr">
        <is>
          <t>aerox rear tire size</t>
        </is>
      </c>
      <c r="C78" s="4" t="n">
        <v>200</v>
      </c>
      <c r="D78" s="3" t="n">
        <v>0</v>
      </c>
      <c r="E78" s="5" t="inlineStr">
        <is>
          <t>Commercial</t>
        </is>
      </c>
      <c r="F78" s="5" t="inlineStr">
        <is>
          <t>Model fitment/spec page</t>
        </is>
      </c>
      <c r="G78" s="5" t="inlineStr">
        <is>
          <t>/tires/aerox-rear-tire-size/</t>
        </is>
      </c>
      <c r="H78" s="6">
        <f>ROUND(MIN(100,LOG10(C78+1)*18+(10-D78)*2+IF(OR(E78="Commercial",E78="Informational / Transactional"),12,5)),0)</f>
        <v/>
      </c>
      <c r="I78" s="6">
        <f>IF(H78&gt;=85,"P1",IF(H78&gt;=70,"P2","P3"))</f>
        <v/>
      </c>
      <c r="J78" s="5" t="inlineStr">
        <is>
          <t>https://ahrefs.com/keywords-explorer</t>
        </is>
      </c>
    </row>
    <row r="79">
      <c r="A79" s="2" t="inlineStr">
        <is>
          <t>Tires &amp; Fitment</t>
        </is>
      </c>
      <c r="B79" s="3" t="inlineStr">
        <is>
          <t>nmax rear tire size</t>
        </is>
      </c>
      <c r="C79" s="4" t="n">
        <v>200</v>
      </c>
      <c r="D79" s="3" t="n">
        <v>0</v>
      </c>
      <c r="E79" s="5" t="inlineStr">
        <is>
          <t>Commercial</t>
        </is>
      </c>
      <c r="F79" s="5" t="inlineStr">
        <is>
          <t>Model fitment/spec page</t>
        </is>
      </c>
      <c r="G79" s="5" t="inlineStr">
        <is>
          <t>/tires/nmax-rear-tire-size/</t>
        </is>
      </c>
      <c r="H79" s="6">
        <f>ROUND(MIN(100,LOG10(C79+1)*18+(10-D79)*2+IF(OR(E79="Commercial",E79="Informational / Transactional"),12,5)),0)</f>
        <v/>
      </c>
      <c r="I79" s="6">
        <f>IF(H79&gt;=85,"P1",IF(H79&gt;=70,"P2","P3"))</f>
        <v/>
      </c>
      <c r="J79" s="5" t="inlineStr">
        <is>
          <t>https://ahrefs.com/keywords-explorer</t>
        </is>
      </c>
    </row>
    <row r="80">
      <c r="A80" s="2" t="inlineStr">
        <is>
          <t>Tires &amp; Fitment</t>
        </is>
      </c>
      <c r="B80" s="3" t="inlineStr">
        <is>
          <t>aerox tire size front and rear</t>
        </is>
      </c>
      <c r="C80" s="4" t="n">
        <v>150</v>
      </c>
      <c r="D80" s="3" t="n">
        <v>0</v>
      </c>
      <c r="E80" s="5" t="inlineStr">
        <is>
          <t>Commercial</t>
        </is>
      </c>
      <c r="F80" s="5" t="inlineStr">
        <is>
          <t>Model fitment/spec page</t>
        </is>
      </c>
      <c r="G80" s="5" t="inlineStr">
        <is>
          <t>/tires/aerox-tire-size-front-and-rear/</t>
        </is>
      </c>
      <c r="H80" s="6">
        <f>ROUND(MIN(100,LOG10(C80+1)*18+(10-D80)*2+IF(OR(E80="Commercial",E80="Informational / Transactional"),12,5)),0)</f>
        <v/>
      </c>
      <c r="I80" s="6">
        <f>IF(H80&gt;=85,"P1",IF(H80&gt;=70,"P2","P3"))</f>
        <v/>
      </c>
      <c r="J80" s="5" t="inlineStr">
        <is>
          <t>https://ahrefs.com/keywords-explorer</t>
        </is>
      </c>
    </row>
    <row r="81">
      <c r="A81" s="2" t="inlineStr">
        <is>
          <t>Tires &amp; Fitment</t>
        </is>
      </c>
      <c r="B81" s="3" t="inlineStr">
        <is>
          <t>honda click v2 tire size</t>
        </is>
      </c>
      <c r="C81" s="4" t="n">
        <v>150</v>
      </c>
      <c r="D81" s="3" t="n">
        <v>0</v>
      </c>
      <c r="E81" s="5" t="inlineStr">
        <is>
          <t>Commercial</t>
        </is>
      </c>
      <c r="F81" s="5" t="inlineStr">
        <is>
          <t>Model fitment/spec page</t>
        </is>
      </c>
      <c r="G81" s="5" t="inlineStr">
        <is>
          <t>/tires/honda-click-v2-tire-size/</t>
        </is>
      </c>
      <c r="H81" s="6">
        <f>ROUND(MIN(100,LOG10(C81+1)*18+(10-D81)*2+IF(OR(E81="Commercial",E81="Informational / Transactional"),12,5)),0)</f>
        <v/>
      </c>
      <c r="I81" s="6">
        <f>IF(H81&gt;=85,"P1",IF(H81&gt;=70,"P2","P3"))</f>
        <v/>
      </c>
      <c r="J81" s="5" t="inlineStr">
        <is>
          <t>https://ahrefs.com/keywords-explorer</t>
        </is>
      </c>
    </row>
    <row r="82">
      <c r="A82" s="2" t="inlineStr">
        <is>
          <t>Tires &amp; Fitment</t>
        </is>
      </c>
      <c r="B82" s="3" t="inlineStr">
        <is>
          <t>how to read tire size motorcycle</t>
        </is>
      </c>
      <c r="C82" s="4" t="n">
        <v>150</v>
      </c>
      <c r="D82" s="3" t="n">
        <v>3</v>
      </c>
      <c r="E82" s="5" t="inlineStr">
        <is>
          <t>Commercial</t>
        </is>
      </c>
      <c r="F82" s="5" t="inlineStr">
        <is>
          <t>Model fitment/spec page</t>
        </is>
      </c>
      <c r="G82" s="5" t="inlineStr">
        <is>
          <t>/tires/how-to-read-tire-size-motorcycle/</t>
        </is>
      </c>
      <c r="H82" s="6">
        <f>ROUND(MIN(100,LOG10(C82+1)*18+(10-D82)*2+IF(OR(E82="Commercial",E82="Informational / Transactional"),12,5)),0)</f>
        <v/>
      </c>
      <c r="I82" s="6">
        <f>IF(H82&gt;=85,"P1",IF(H82&gt;=70,"P2","P3"))</f>
        <v/>
      </c>
      <c r="J82" s="5" t="inlineStr">
        <is>
          <t>https://ahrefs.com/keywords-explorer</t>
        </is>
      </c>
    </row>
    <row r="83">
      <c r="A83" s="2" t="inlineStr">
        <is>
          <t>Tires &amp; Fitment</t>
        </is>
      </c>
      <c r="B83" s="3" t="inlineStr">
        <is>
          <t>motorcycle tire pressure</t>
        </is>
      </c>
      <c r="C83" s="4" t="n">
        <v>150</v>
      </c>
      <c r="D83" s="3" t="n">
        <v>1</v>
      </c>
      <c r="E83" s="5" t="inlineStr">
        <is>
          <t>Commercial</t>
        </is>
      </c>
      <c r="F83" s="5" t="inlineStr">
        <is>
          <t>Model fitment/spec page</t>
        </is>
      </c>
      <c r="G83" s="5" t="inlineStr">
        <is>
          <t>/tires/motorcycle-tire-pressure/</t>
        </is>
      </c>
      <c r="H83" s="6">
        <f>ROUND(MIN(100,LOG10(C83+1)*18+(10-D83)*2+IF(OR(E83="Commercial",E83="Informational / Transactional"),12,5)),0)</f>
        <v/>
      </c>
      <c r="I83" s="6">
        <f>IF(H83&gt;=85,"P1",IF(H83&gt;=70,"P2","P3"))</f>
        <v/>
      </c>
      <c r="J83" s="5" t="inlineStr">
        <is>
          <t>https://ahrefs.com/keywords-explorer</t>
        </is>
      </c>
    </row>
    <row r="84">
      <c r="A84" s="2" t="inlineStr">
        <is>
          <t>Tires &amp; Fitment</t>
        </is>
      </c>
      <c r="B84" s="3" t="inlineStr">
        <is>
          <t>motorcycle tire size</t>
        </is>
      </c>
      <c r="C84" s="4" t="n">
        <v>150</v>
      </c>
      <c r="D84" s="3" t="n">
        <v>2</v>
      </c>
      <c r="E84" s="5" t="inlineStr">
        <is>
          <t>Commercial</t>
        </is>
      </c>
      <c r="F84" s="5" t="inlineStr">
        <is>
          <t>Model fitment/spec page</t>
        </is>
      </c>
      <c r="G84" s="5" t="inlineStr">
        <is>
          <t>/tires/motorcycle-tire-size/</t>
        </is>
      </c>
      <c r="H84" s="6">
        <f>ROUND(MIN(100,LOG10(C84+1)*18+(10-D84)*2+IF(OR(E84="Commercial",E84="Informational / Transactional"),12,5)),0)</f>
        <v/>
      </c>
      <c r="I84" s="6">
        <f>IF(H84&gt;=85,"P1",IF(H84&gt;=70,"P2","P3"))</f>
        <v/>
      </c>
      <c r="J84" s="5" t="inlineStr">
        <is>
          <t>https://ahrefs.com/keywords-explorer</t>
        </is>
      </c>
    </row>
    <row r="85">
      <c r="A85" s="2" t="inlineStr">
        <is>
          <t>Tires &amp; Fitment</t>
        </is>
      </c>
      <c r="B85" s="3" t="inlineStr">
        <is>
          <t>motorcycle tire size chart philippines</t>
        </is>
      </c>
      <c r="C85" s="4" t="n">
        <v>150</v>
      </c>
      <c r="D85" s="3" t="n">
        <v>0</v>
      </c>
      <c r="E85" s="5" t="inlineStr">
        <is>
          <t>Commercial</t>
        </is>
      </c>
      <c r="F85" s="5" t="inlineStr">
        <is>
          <t>Model fitment/spec page</t>
        </is>
      </c>
      <c r="G85" s="5" t="inlineStr">
        <is>
          <t>/tires/motorcycle-tire-size-chart-philippines/</t>
        </is>
      </c>
      <c r="H85" s="6">
        <f>ROUND(MIN(100,LOG10(C85+1)*18+(10-D85)*2+IF(OR(E85="Commercial",E85="Informational / Transactional"),12,5)),0)</f>
        <v/>
      </c>
      <c r="I85" s="6">
        <f>IF(H85&gt;=85,"P1",IF(H85&gt;=70,"P2","P3"))</f>
        <v/>
      </c>
      <c r="J85" s="5" t="inlineStr">
        <is>
          <t>https://ahrefs.com/keywords-explorer</t>
        </is>
      </c>
    </row>
    <row r="86">
      <c r="A86" s="2" t="inlineStr">
        <is>
          <t>Tires &amp; Fitment</t>
        </is>
      </c>
      <c r="B86" s="3" t="inlineStr">
        <is>
          <t>motorcycle tire size guide</t>
        </is>
      </c>
      <c r="C86" s="4" t="n">
        <v>150</v>
      </c>
      <c r="D86" s="3" t="n">
        <v>3</v>
      </c>
      <c r="E86" s="5" t="inlineStr">
        <is>
          <t>Commercial</t>
        </is>
      </c>
      <c r="F86" s="5" t="inlineStr">
        <is>
          <t>Model fitment/spec page</t>
        </is>
      </c>
      <c r="G86" s="5" t="inlineStr">
        <is>
          <t>/tires/motorcycle-tire-size-guide/</t>
        </is>
      </c>
      <c r="H86" s="6">
        <f>ROUND(MIN(100,LOG10(C86+1)*18+(10-D86)*2+IF(OR(E86="Commercial",E86="Informational / Transactional"),12,5)),0)</f>
        <v/>
      </c>
      <c r="I86" s="6">
        <f>IF(H86&gt;=85,"P1",IF(H86&gt;=70,"P2","P3"))</f>
        <v/>
      </c>
      <c r="J86" s="5" t="inlineStr">
        <is>
          <t>https://ahrefs.com/keywords-explorer</t>
        </is>
      </c>
    </row>
    <row r="87">
      <c r="A87" s="2" t="inlineStr">
        <is>
          <t>Tires &amp; Fitment</t>
        </is>
      </c>
      <c r="B87" s="3" t="inlineStr">
        <is>
          <t>nmax front tire size</t>
        </is>
      </c>
      <c r="C87" s="4" t="n">
        <v>150</v>
      </c>
      <c r="D87" s="3" t="n">
        <v>0</v>
      </c>
      <c r="E87" s="5" t="inlineStr">
        <is>
          <t>Commercial</t>
        </is>
      </c>
      <c r="F87" s="5" t="inlineStr">
        <is>
          <t>Model fitment/spec page</t>
        </is>
      </c>
      <c r="G87" s="5" t="inlineStr">
        <is>
          <t>/tires/nmax-front-tire-size/</t>
        </is>
      </c>
      <c r="H87" s="6">
        <f>ROUND(MIN(100,LOG10(C87+1)*18+(10-D87)*2+IF(OR(E87="Commercial",E87="Informational / Transactional"),12,5)),0)</f>
        <v/>
      </c>
      <c r="I87" s="6">
        <f>IF(H87&gt;=85,"P1",IF(H87&gt;=70,"P2","P3"))</f>
        <v/>
      </c>
      <c r="J87" s="5" t="inlineStr">
        <is>
          <t>https://ahrefs.com/keywords-explorer</t>
        </is>
      </c>
    </row>
    <row r="88">
      <c r="A88" s="2" t="inlineStr">
        <is>
          <t>Tires &amp; Fitment</t>
        </is>
      </c>
      <c r="B88" s="3" t="inlineStr">
        <is>
          <t>nmax v2 rear tire size</t>
        </is>
      </c>
      <c r="C88" s="4" t="n">
        <v>150</v>
      </c>
      <c r="D88" s="3" t="n">
        <v>0</v>
      </c>
      <c r="E88" s="5" t="inlineStr">
        <is>
          <t>Commercial</t>
        </is>
      </c>
      <c r="F88" s="5" t="inlineStr">
        <is>
          <t>Model fitment/spec page</t>
        </is>
      </c>
      <c r="G88" s="5" t="inlineStr">
        <is>
          <t>/tires/nmax-v2-rear-tire-size/</t>
        </is>
      </c>
      <c r="H88" s="6">
        <f>ROUND(MIN(100,LOG10(C88+1)*18+(10-D88)*2+IF(OR(E88="Commercial",E88="Informational / Transactional"),12,5)),0)</f>
        <v/>
      </c>
      <c r="I88" s="6">
        <f>IF(H88&gt;=85,"P1",IF(H88&gt;=70,"P2","P3"))</f>
        <v/>
      </c>
      <c r="J88" s="5" t="inlineStr">
        <is>
          <t>https://ahrefs.com/keywords-explorer</t>
        </is>
      </c>
    </row>
    <row r="89">
      <c r="A89" s="2" t="inlineStr">
        <is>
          <t>Tires &amp; Fitment</t>
        </is>
      </c>
      <c r="B89" s="3" t="inlineStr">
        <is>
          <t>tire for motorcycle</t>
        </is>
      </c>
      <c r="C89" s="4" t="n">
        <v>150</v>
      </c>
      <c r="D89" s="3" t="n">
        <v>0</v>
      </c>
      <c r="E89" s="5" t="inlineStr">
        <is>
          <t>Commercial</t>
        </is>
      </c>
      <c r="F89" s="5" t="inlineStr">
        <is>
          <t>Category/product guide</t>
        </is>
      </c>
      <c r="G89" s="5" t="inlineStr">
        <is>
          <t>/tires/tire-for-motorcycle/</t>
        </is>
      </c>
      <c r="H89" s="6">
        <f>ROUND(MIN(100,LOG10(C89+1)*18+(10-D89)*2+IF(OR(E89="Commercial",E89="Informational / Transactional"),12,5)),0)</f>
        <v/>
      </c>
      <c r="I89" s="6">
        <f>IF(H89&gt;=85,"P1",IF(H89&gt;=70,"P2","P3"))</f>
        <v/>
      </c>
      <c r="J89" s="5" t="inlineStr">
        <is>
          <t>https://ahrefs.com/keywords-explorer</t>
        </is>
      </c>
    </row>
    <row r="90">
      <c r="A90" s="2" t="inlineStr">
        <is>
          <t>Tires &amp; Fitment</t>
        </is>
      </c>
      <c r="B90" s="3" t="inlineStr">
        <is>
          <t>honda adv 160 tire size</t>
        </is>
      </c>
      <c r="C90" s="4" t="n">
        <v>100</v>
      </c>
      <c r="D90" s="3" t="n">
        <v>0</v>
      </c>
      <c r="E90" s="5" t="inlineStr">
        <is>
          <t>Commercial</t>
        </is>
      </c>
      <c r="F90" s="5" t="inlineStr">
        <is>
          <t>Model fitment/spec page</t>
        </is>
      </c>
      <c r="G90" s="5" t="inlineStr">
        <is>
          <t>/tires/honda-adv-160-tire-size/</t>
        </is>
      </c>
      <c r="H90" s="6">
        <f>ROUND(MIN(100,LOG10(C90+1)*18+(10-D90)*2+IF(OR(E90="Commercial",E90="Informational / Transactional"),12,5)),0)</f>
        <v/>
      </c>
      <c r="I90" s="6">
        <f>IF(H90&gt;=85,"P1",IF(H90&gt;=70,"P2","P3"))</f>
        <v/>
      </c>
      <c r="J90" s="5" t="inlineStr">
        <is>
          <t>https://ahrefs.com/keywords-explorer</t>
        </is>
      </c>
    </row>
    <row r="91">
      <c r="A91" s="2" t="inlineStr">
        <is>
          <t>Tires &amp; Fitment</t>
        </is>
      </c>
      <c r="B91" s="3" t="inlineStr">
        <is>
          <t>how to read motorcycle tire size</t>
        </is>
      </c>
      <c r="C91" s="4" t="n">
        <v>100</v>
      </c>
      <c r="D91" s="3" t="n">
        <v>6</v>
      </c>
      <c r="E91" s="5" t="inlineStr">
        <is>
          <t>Commercial</t>
        </is>
      </c>
      <c r="F91" s="5" t="inlineStr">
        <is>
          <t>Model fitment/spec page</t>
        </is>
      </c>
      <c r="G91" s="5" t="inlineStr">
        <is>
          <t>/tires/how-to-read-motorcycle-tire-size/</t>
        </is>
      </c>
      <c r="H91" s="6">
        <f>ROUND(MIN(100,LOG10(C91+1)*18+(10-D91)*2+IF(OR(E91="Commercial",E91="Informational / Transactional"),12,5)),0)</f>
        <v/>
      </c>
      <c r="I91" s="6">
        <f>IF(H91&gt;=85,"P1",IF(H91&gt;=70,"P2","P3"))</f>
        <v/>
      </c>
      <c r="J91" s="5" t="inlineStr">
        <is>
          <t>https://ahrefs.com/keywords-explorer</t>
        </is>
      </c>
    </row>
    <row r="92">
      <c r="A92" s="2" t="inlineStr">
        <is>
          <t>Tires &amp; Fitment</t>
        </is>
      </c>
      <c r="B92" s="3" t="inlineStr">
        <is>
          <t>motorcycle tire brands</t>
        </is>
      </c>
      <c r="C92" s="4" t="n">
        <v>100</v>
      </c>
      <c r="D92" s="3" t="n">
        <v>0</v>
      </c>
      <c r="E92" s="5" t="inlineStr">
        <is>
          <t>Commercial</t>
        </is>
      </c>
      <c r="F92" s="5" t="inlineStr">
        <is>
          <t>Buying guide</t>
        </is>
      </c>
      <c r="G92" s="5" t="inlineStr">
        <is>
          <t>/tires/motorcycle-tire-brands/</t>
        </is>
      </c>
      <c r="H92" s="6">
        <f>ROUND(MIN(100,LOG10(C92+1)*18+(10-D92)*2+IF(OR(E92="Commercial",E92="Informational / Transactional"),12,5)),0)</f>
        <v/>
      </c>
      <c r="I92" s="6">
        <f>IF(H92&gt;=85,"P1",IF(H92&gt;=70,"P2","P3"))</f>
        <v/>
      </c>
      <c r="J92" s="5" t="inlineStr">
        <is>
          <t>https://ahrefs.com/keywords-explorer</t>
        </is>
      </c>
    </row>
    <row r="93">
      <c r="A93" s="2" t="inlineStr">
        <is>
          <t>Tires &amp; Fitment</t>
        </is>
      </c>
      <c r="B93" s="3" t="inlineStr">
        <is>
          <t>motorcycle tire expiration</t>
        </is>
      </c>
      <c r="C93" s="4" t="n">
        <v>90</v>
      </c>
      <c r="D93" s="3" t="n">
        <v>0</v>
      </c>
      <c r="E93" s="5" t="inlineStr">
        <is>
          <t>Commercial</t>
        </is>
      </c>
      <c r="F93" s="5" t="inlineStr">
        <is>
          <t>Category/product guide</t>
        </is>
      </c>
      <c r="G93" s="5" t="inlineStr">
        <is>
          <t>/tires/motorcycle-tire-expiration/</t>
        </is>
      </c>
      <c r="H93" s="6">
        <f>ROUND(MIN(100,LOG10(C93+1)*18+(10-D93)*2+IF(OR(E93="Commercial",E93="Informational / Transactional"),12,5)),0)</f>
        <v/>
      </c>
      <c r="I93" s="6">
        <f>IF(H93&gt;=85,"P1",IF(H93&gt;=70,"P2","P3"))</f>
        <v/>
      </c>
      <c r="J93" s="5" t="inlineStr">
        <is>
          <t>https://ahrefs.com/keywords-explorer</t>
        </is>
      </c>
    </row>
    <row r="94">
      <c r="A94" s="2" t="inlineStr">
        <is>
          <t>Tires &amp; Fitment</t>
        </is>
      </c>
      <c r="B94" s="3" t="inlineStr">
        <is>
          <t>tire brand for motorcycle</t>
        </is>
      </c>
      <c r="C94" s="4" t="n">
        <v>90</v>
      </c>
      <c r="D94" s="3" t="n">
        <v>0</v>
      </c>
      <c r="E94" s="5" t="inlineStr">
        <is>
          <t>Commercial</t>
        </is>
      </c>
      <c r="F94" s="5" t="inlineStr">
        <is>
          <t>Buying guide</t>
        </is>
      </c>
      <c r="G94" s="5" t="inlineStr">
        <is>
          <t>/tires/tire-brand-for-motorcycle/</t>
        </is>
      </c>
      <c r="H94" s="6">
        <f>ROUND(MIN(100,LOG10(C94+1)*18+(10-D94)*2+IF(OR(E94="Commercial",E94="Informational / Transactional"),12,5)),0)</f>
        <v/>
      </c>
      <c r="I94" s="6">
        <f>IF(H94&gt;=85,"P1",IF(H94&gt;=70,"P2","P3"))</f>
        <v/>
      </c>
      <c r="J94" s="5" t="inlineStr">
        <is>
          <t>https://ahrefs.com/keywords-explorer</t>
        </is>
      </c>
    </row>
    <row r="95">
      <c r="A95" s="2" t="inlineStr">
        <is>
          <t>Tires &amp; Fitment</t>
        </is>
      </c>
      <c r="B95" s="3" t="inlineStr">
        <is>
          <t>tire size motorcycle</t>
        </is>
      </c>
      <c r="C95" s="4" t="n">
        <v>90</v>
      </c>
      <c r="D95" s="3" t="n">
        <v>1</v>
      </c>
      <c r="E95" s="5" t="inlineStr">
        <is>
          <t>Commercial</t>
        </is>
      </c>
      <c r="F95" s="5" t="inlineStr">
        <is>
          <t>Model fitment/spec page</t>
        </is>
      </c>
      <c r="G95" s="5" t="inlineStr">
        <is>
          <t>/tires/tire-size-motorcycle/</t>
        </is>
      </c>
      <c r="H95" s="6">
        <f>ROUND(MIN(100,LOG10(C95+1)*18+(10-D95)*2+IF(OR(E95="Commercial",E95="Informational / Transactional"),12,5)),0)</f>
        <v/>
      </c>
      <c r="I95" s="6">
        <f>IF(H95&gt;=85,"P1",IF(H95&gt;=70,"P2","P3"))</f>
        <v/>
      </c>
      <c r="J95" s="5" t="inlineStr">
        <is>
          <t>https://ahrefs.com/keywords-explorer</t>
        </is>
      </c>
    </row>
    <row r="96">
      <c r="A96" s="2" t="inlineStr">
        <is>
          <t>Tires &amp; Fitment</t>
        </is>
      </c>
      <c r="B96" s="3" t="inlineStr">
        <is>
          <t>aerox v1 stock tire size</t>
        </is>
      </c>
      <c r="C96" s="4" t="n">
        <v>80</v>
      </c>
      <c r="D96" s="3" t="n">
        <v>0</v>
      </c>
      <c r="E96" s="5" t="inlineStr">
        <is>
          <t>Commercial</t>
        </is>
      </c>
      <c r="F96" s="5" t="inlineStr">
        <is>
          <t>Model fitment/spec page</t>
        </is>
      </c>
      <c r="G96" s="5" t="inlineStr">
        <is>
          <t>/tires/aerox-v1-stock-tire-size/</t>
        </is>
      </c>
      <c r="H96" s="6">
        <f>ROUND(MIN(100,LOG10(C96+1)*18+(10-D96)*2+IF(OR(E96="Commercial",E96="Informational / Transactional"),12,5)),0)</f>
        <v/>
      </c>
      <c r="I96" s="6">
        <f>IF(H96&gt;=85,"P1",IF(H96&gt;=70,"P2","P3"))</f>
        <v/>
      </c>
      <c r="J96" s="5" t="inlineStr">
        <is>
          <t>https://ahrefs.com/keywords-explorer</t>
        </is>
      </c>
    </row>
    <row r="97">
      <c r="A97" s="2" t="inlineStr">
        <is>
          <t>Tires &amp; Fitment</t>
        </is>
      </c>
      <c r="B97" s="3" t="inlineStr">
        <is>
          <t>honda click 150i tire size</t>
        </is>
      </c>
      <c r="C97" s="4" t="n">
        <v>80</v>
      </c>
      <c r="D97" s="3" t="n">
        <v>0</v>
      </c>
      <c r="E97" s="5" t="inlineStr">
        <is>
          <t>Commercial</t>
        </is>
      </c>
      <c r="F97" s="5" t="inlineStr">
        <is>
          <t>Model fitment/spec page</t>
        </is>
      </c>
      <c r="G97" s="5" t="inlineStr">
        <is>
          <t>/tires/honda-click-150i-tire-size/</t>
        </is>
      </c>
      <c r="H97" s="6">
        <f>ROUND(MIN(100,LOG10(C97+1)*18+(10-D97)*2+IF(OR(E97="Commercial",E97="Informational / Transactional"),12,5)),0)</f>
        <v/>
      </c>
      <c r="I97" s="6">
        <f>IF(H97&gt;=85,"P1",IF(H97&gt;=70,"P2","P3"))</f>
        <v/>
      </c>
      <c r="J97" s="5" t="inlineStr">
        <is>
          <t>https://ahrefs.com/keywords-explorer</t>
        </is>
      </c>
    </row>
    <row r="98">
      <c r="A98" s="2" t="inlineStr">
        <is>
          <t>Tires &amp; Fitment</t>
        </is>
      </c>
      <c r="B98" s="3" t="inlineStr">
        <is>
          <t>tire pressure for motorcycle</t>
        </is>
      </c>
      <c r="C98" s="4" t="n">
        <v>80</v>
      </c>
      <c r="D98" s="3" t="n">
        <v>1</v>
      </c>
      <c r="E98" s="5" t="inlineStr">
        <is>
          <t>Commercial</t>
        </is>
      </c>
      <c r="F98" s="5" t="inlineStr">
        <is>
          <t>Model fitment/spec page</t>
        </is>
      </c>
      <c r="G98" s="5" t="inlineStr">
        <is>
          <t>/tires/tire-pressure-for-motorcycle/</t>
        </is>
      </c>
      <c r="H98" s="6">
        <f>ROUND(MIN(100,LOG10(C98+1)*18+(10-D98)*2+IF(OR(E98="Commercial",E98="Informational / Transactional"),12,5)),0)</f>
        <v/>
      </c>
      <c r="I98" s="6">
        <f>IF(H98&gt;=85,"P1",IF(H98&gt;=70,"P2","P3"))</f>
        <v/>
      </c>
      <c r="J98" s="5" t="inlineStr">
        <is>
          <t>https://ahrefs.com/keywords-explorer</t>
        </is>
      </c>
    </row>
    <row r="99">
      <c r="A99" s="2" t="inlineStr">
        <is>
          <t>Tires &amp; Fitment</t>
        </is>
      </c>
      <c r="B99" s="3" t="inlineStr">
        <is>
          <t>tire size chart motorcycle</t>
        </is>
      </c>
      <c r="C99" s="4" t="n">
        <v>80</v>
      </c>
      <c r="D99" s="3" t="n">
        <v>1</v>
      </c>
      <c r="E99" s="5" t="inlineStr">
        <is>
          <t>Commercial</t>
        </is>
      </c>
      <c r="F99" s="5" t="inlineStr">
        <is>
          <t>Model fitment/spec page</t>
        </is>
      </c>
      <c r="G99" s="5" t="inlineStr">
        <is>
          <t>/tires/tire-size-chart-motorcycle/</t>
        </is>
      </c>
      <c r="H99" s="6">
        <f>ROUND(MIN(100,LOG10(C99+1)*18+(10-D99)*2+IF(OR(E99="Commercial",E99="Informational / Transactional"),12,5)),0)</f>
        <v/>
      </c>
      <c r="I99" s="6">
        <f>IF(H99&gt;=85,"P1",IF(H99&gt;=70,"P2","P3"))</f>
        <v/>
      </c>
      <c r="J99" s="5" t="inlineStr">
        <is>
          <t>https://ahrefs.com/keywords-explorer</t>
        </is>
      </c>
    </row>
    <row r="100">
      <c r="A100" s="2" t="inlineStr">
        <is>
          <t>Tires &amp; Fitment</t>
        </is>
      </c>
      <c r="B100" s="3" t="inlineStr">
        <is>
          <t>motorcycle tire brands philippines</t>
        </is>
      </c>
      <c r="C100" s="4" t="n">
        <v>70</v>
      </c>
      <c r="D100" s="3" t="n">
        <v>0</v>
      </c>
      <c r="E100" s="5" t="inlineStr">
        <is>
          <t>Commercial</t>
        </is>
      </c>
      <c r="F100" s="5" t="inlineStr">
        <is>
          <t>Buying guide</t>
        </is>
      </c>
      <c r="G100" s="5" t="inlineStr">
        <is>
          <t>/tires/motorcycle-tire-brands-philippines/</t>
        </is>
      </c>
      <c r="H100" s="6">
        <f>ROUND(MIN(100,LOG10(C100+1)*18+(10-D100)*2+IF(OR(E100="Commercial",E100="Informational / Transactional"),12,5)),0)</f>
        <v/>
      </c>
      <c r="I100" s="6">
        <f>IF(H100&gt;=85,"P1",IF(H100&gt;=70,"P2","P3"))</f>
        <v/>
      </c>
      <c r="J100" s="5" t="inlineStr">
        <is>
          <t>https://ahrefs.com/keywords-explorer</t>
        </is>
      </c>
    </row>
    <row r="101">
      <c r="A101" s="2" t="inlineStr">
        <is>
          <t>Tires &amp; Fitment</t>
        </is>
      </c>
      <c r="B101" s="3" t="inlineStr">
        <is>
          <t>motorcycle tire psi</t>
        </is>
      </c>
      <c r="C101" s="4" t="n">
        <v>70</v>
      </c>
      <c r="D101" s="3" t="n">
        <v>0</v>
      </c>
      <c r="E101" s="5" t="inlineStr">
        <is>
          <t>Commercial</t>
        </is>
      </c>
      <c r="F101" s="5" t="inlineStr">
        <is>
          <t>Category/product guide</t>
        </is>
      </c>
      <c r="G101" s="5" t="inlineStr">
        <is>
          <t>/tires/motorcycle-tire-psi/</t>
        </is>
      </c>
      <c r="H101" s="6">
        <f>ROUND(MIN(100,LOG10(C101+1)*18+(10-D101)*2+IF(OR(E101="Commercial",E101="Informational / Transactional"),12,5)),0)</f>
        <v/>
      </c>
      <c r="I101" s="6">
        <f>IF(H101&gt;=85,"P1",IF(H101&gt;=70,"P2","P3"))</f>
        <v/>
      </c>
      <c r="J101" s="5" t="inlineStr">
        <is>
          <t>https://ahrefs.com/keywords-explorer</t>
        </is>
      </c>
    </row>
    <row r="102">
      <c r="A102" s="2" t="inlineStr">
        <is>
          <t>Tires &amp; Fitment</t>
        </is>
      </c>
      <c r="B102" s="3" t="inlineStr">
        <is>
          <t>honda click 125i v3 tire size</t>
        </is>
      </c>
      <c r="C102" s="4" t="n">
        <v>60</v>
      </c>
      <c r="D102" s="3" t="n">
        <v>0</v>
      </c>
      <c r="E102" s="5" t="inlineStr">
        <is>
          <t>Commercial</t>
        </is>
      </c>
      <c r="F102" s="5" t="inlineStr">
        <is>
          <t>Model fitment/spec page</t>
        </is>
      </c>
      <c r="G102" s="5" t="inlineStr">
        <is>
          <t>/tires/honda-click-125i-v3-tire-size/</t>
        </is>
      </c>
      <c r="H102" s="6">
        <f>ROUND(MIN(100,LOG10(C102+1)*18+(10-D102)*2+IF(OR(E102="Commercial",E102="Informational / Transactional"),12,5)),0)</f>
        <v/>
      </c>
      <c r="I102" s="6">
        <f>IF(H102&gt;=85,"P1",IF(H102&gt;=70,"P2","P3"))</f>
        <v/>
      </c>
      <c r="J102" s="5" t="inlineStr">
        <is>
          <t>https://ahrefs.com/keywords-explorer</t>
        </is>
      </c>
    </row>
    <row r="103">
      <c r="A103" s="2" t="inlineStr">
        <is>
          <t>Tires &amp; Fitment</t>
        </is>
      </c>
      <c r="B103" s="3" t="inlineStr">
        <is>
          <t>motorcycle tire expiration date</t>
        </is>
      </c>
      <c r="C103" s="4" t="n">
        <v>60</v>
      </c>
      <c r="D103" s="3" t="n">
        <v>1</v>
      </c>
      <c r="E103" s="5" t="inlineStr">
        <is>
          <t>Commercial</t>
        </is>
      </c>
      <c r="F103" s="5" t="inlineStr">
        <is>
          <t>Category/product guide</t>
        </is>
      </c>
      <c r="G103" s="5" t="inlineStr">
        <is>
          <t>/tires/motorcycle-tire-expiration-date/</t>
        </is>
      </c>
      <c r="H103" s="6">
        <f>ROUND(MIN(100,LOG10(C103+1)*18+(10-D103)*2+IF(OR(E103="Commercial",E103="Informational / Transactional"),12,5)),0)</f>
        <v/>
      </c>
      <c r="I103" s="6">
        <f>IF(H103&gt;=85,"P1",IF(H103&gt;=70,"P2","P3"))</f>
        <v/>
      </c>
      <c r="J103" s="5" t="inlineStr">
        <is>
          <t>https://ahrefs.com/keywords-explorer</t>
        </is>
      </c>
    </row>
    <row r="104">
      <c r="A104" s="2" t="inlineStr">
        <is>
          <t>Tires &amp; Fitment</t>
        </is>
      </c>
      <c r="B104" s="3" t="inlineStr">
        <is>
          <t>motorcycle tire size explained</t>
        </is>
      </c>
      <c r="C104" s="4" t="n">
        <v>60</v>
      </c>
      <c r="D104" s="3" t="n">
        <v>2</v>
      </c>
      <c r="E104" s="5" t="inlineStr">
        <is>
          <t>Commercial</t>
        </is>
      </c>
      <c r="F104" s="5" t="inlineStr">
        <is>
          <t>Model fitment/spec page</t>
        </is>
      </c>
      <c r="G104" s="5" t="inlineStr">
        <is>
          <t>/tires/motorcycle-tire-size-explained/</t>
        </is>
      </c>
      <c r="H104" s="6">
        <f>ROUND(MIN(100,LOG10(C104+1)*18+(10-D104)*2+IF(OR(E104="Commercial",E104="Informational / Transactional"),12,5)),0)</f>
        <v/>
      </c>
      <c r="I104" s="6">
        <f>IF(H104&gt;=85,"P1",IF(H104&gt;=70,"P2","P3"))</f>
        <v/>
      </c>
      <c r="J104" s="5" t="inlineStr">
        <is>
          <t>https://ahrefs.com/keywords-explorer</t>
        </is>
      </c>
    </row>
    <row r="105">
      <c r="A105" s="2" t="inlineStr">
        <is>
          <t>Tires &amp; Fitment</t>
        </is>
      </c>
      <c r="B105" s="3" t="inlineStr">
        <is>
          <t>tire sealant for motorcycle</t>
        </is>
      </c>
      <c r="C105" s="4" t="n">
        <v>60</v>
      </c>
      <c r="D105" s="3" t="n">
        <v>0</v>
      </c>
      <c r="E105" s="5" t="inlineStr">
        <is>
          <t>Commercial</t>
        </is>
      </c>
      <c r="F105" s="5" t="inlineStr">
        <is>
          <t>Category/product guide</t>
        </is>
      </c>
      <c r="G105" s="5" t="inlineStr">
        <is>
          <t>/tires/tire-sealant-for-motorcycle/</t>
        </is>
      </c>
      <c r="H105" s="6">
        <f>ROUND(MIN(100,LOG10(C105+1)*18+(10-D105)*2+IF(OR(E105="Commercial",E105="Informational / Transactional"),12,5)),0)</f>
        <v/>
      </c>
      <c r="I105" s="6">
        <f>IF(H105&gt;=85,"P1",IF(H105&gt;=70,"P2","P3"))</f>
        <v/>
      </c>
      <c r="J105" s="5" t="inlineStr">
        <is>
          <t>https://ahrefs.com/keywords-explorer</t>
        </is>
      </c>
    </row>
    <row r="106">
      <c r="A106" s="2" t="inlineStr">
        <is>
          <t>Tires &amp; Fitment</t>
        </is>
      </c>
      <c r="B106" s="3" t="inlineStr">
        <is>
          <t>aerox 155 tire size</t>
        </is>
      </c>
      <c r="C106" s="4" t="n">
        <v>50</v>
      </c>
      <c r="D106" s="3" t="n">
        <v>0</v>
      </c>
      <c r="E106" s="5" t="inlineStr">
        <is>
          <t>Commercial</t>
        </is>
      </c>
      <c r="F106" s="5" t="inlineStr">
        <is>
          <t>Model fitment/spec page</t>
        </is>
      </c>
      <c r="G106" s="5" t="inlineStr">
        <is>
          <t>/tires/aerox-155-tire-size/</t>
        </is>
      </c>
      <c r="H106" s="6">
        <f>ROUND(MIN(100,LOG10(C106+1)*18+(10-D106)*2+IF(OR(E106="Commercial",E106="Informational / Transactional"),12,5)),0)</f>
        <v/>
      </c>
      <c r="I106" s="6">
        <f>IF(H106&gt;=85,"P1",IF(H106&gt;=70,"P2","P3"))</f>
        <v/>
      </c>
      <c r="J106" s="5" t="inlineStr">
        <is>
          <t>https://ahrefs.com/keywords-explorer</t>
        </is>
      </c>
    </row>
    <row r="107">
      <c r="A107" s="2" t="inlineStr">
        <is>
          <t>Tires &amp; Fitment</t>
        </is>
      </c>
      <c r="B107" s="3" t="inlineStr">
        <is>
          <t>honda click 125i v2 tire size</t>
        </is>
      </c>
      <c r="C107" s="4" t="n">
        <v>50</v>
      </c>
      <c r="D107" s="3" t="n">
        <v>0</v>
      </c>
      <c r="E107" s="5" t="inlineStr">
        <is>
          <t>Commercial</t>
        </is>
      </c>
      <c r="F107" s="5" t="inlineStr">
        <is>
          <t>Model fitment/spec page</t>
        </is>
      </c>
      <c r="G107" s="5" t="inlineStr">
        <is>
          <t>/tires/honda-click-125i-v2-tire-size/</t>
        </is>
      </c>
      <c r="H107" s="6">
        <f>ROUND(MIN(100,LOG10(C107+1)*18+(10-D107)*2+IF(OR(E107="Commercial",E107="Informational / Transactional"),12,5)),0)</f>
        <v/>
      </c>
      <c r="I107" s="6">
        <f>IF(H107&gt;=85,"P1",IF(H107&gt;=70,"P2","P3"))</f>
        <v/>
      </c>
      <c r="J107" s="5" t="inlineStr">
        <is>
          <t>https://ahrefs.com/keywords-explorer</t>
        </is>
      </c>
    </row>
    <row r="108">
      <c r="A108" s="2" t="inlineStr">
        <is>
          <t>Tires &amp; Fitment</t>
        </is>
      </c>
      <c r="B108" s="3" t="inlineStr">
        <is>
          <t>honda click front tire size</t>
        </is>
      </c>
      <c r="C108" s="4" t="n">
        <v>50</v>
      </c>
      <c r="D108" s="3" t="n">
        <v>0</v>
      </c>
      <c r="E108" s="5" t="inlineStr">
        <is>
          <t>Commercial</t>
        </is>
      </c>
      <c r="F108" s="5" t="inlineStr">
        <is>
          <t>Model fitment/spec page</t>
        </is>
      </c>
      <c r="G108" s="5" t="inlineStr">
        <is>
          <t>/tires/honda-click-front-tire-size/</t>
        </is>
      </c>
      <c r="H108" s="6">
        <f>ROUND(MIN(100,LOG10(C108+1)*18+(10-D108)*2+IF(OR(E108="Commercial",E108="Informational / Transactional"),12,5)),0)</f>
        <v/>
      </c>
      <c r="I108" s="6">
        <f>IF(H108&gt;=85,"P1",IF(H108&gt;=70,"P2","P3"))</f>
        <v/>
      </c>
      <c r="J108" s="5" t="inlineStr">
        <is>
          <t>https://ahrefs.com/keywords-explorer</t>
        </is>
      </c>
    </row>
    <row r="109">
      <c r="A109" s="2" t="inlineStr">
        <is>
          <t>Tires &amp; Fitment</t>
        </is>
      </c>
      <c r="B109" s="3" t="inlineStr">
        <is>
          <t>honda click rear tire size</t>
        </is>
      </c>
      <c r="C109" s="4" t="n">
        <v>50</v>
      </c>
      <c r="D109" s="3" t="n">
        <v>0</v>
      </c>
      <c r="E109" s="5" t="inlineStr">
        <is>
          <t>Commercial</t>
        </is>
      </c>
      <c r="F109" s="5" t="inlineStr">
        <is>
          <t>Model fitment/spec page</t>
        </is>
      </c>
      <c r="G109" s="5" t="inlineStr">
        <is>
          <t>/tires/honda-click-rear-tire-size/</t>
        </is>
      </c>
      <c r="H109" s="6">
        <f>ROUND(MIN(100,LOG10(C109+1)*18+(10-D109)*2+IF(OR(E109="Commercial",E109="Informational / Transactional"),12,5)),0)</f>
        <v/>
      </c>
      <c r="I109" s="6">
        <f>IF(H109&gt;=85,"P1",IF(H109&gt;=70,"P2","P3"))</f>
        <v/>
      </c>
      <c r="J109" s="5" t="inlineStr">
        <is>
          <t>https://ahrefs.com/keywords-explorer</t>
        </is>
      </c>
    </row>
    <row r="110">
      <c r="A110" s="2" t="inlineStr">
        <is>
          <t>Tires &amp; Fitment</t>
        </is>
      </c>
      <c r="B110" s="3" t="inlineStr">
        <is>
          <t>nmax 155 tire size front and rear</t>
        </is>
      </c>
      <c r="C110" s="4" t="n">
        <v>50</v>
      </c>
      <c r="D110" s="3" t="n">
        <v>0</v>
      </c>
      <c r="E110" s="5" t="inlineStr">
        <is>
          <t>Commercial</t>
        </is>
      </c>
      <c r="F110" s="5" t="inlineStr">
        <is>
          <t>Model fitment/spec page</t>
        </is>
      </c>
      <c r="G110" s="5" t="inlineStr">
        <is>
          <t>/tires/nmax-155-tire-size-front-and-rear/</t>
        </is>
      </c>
      <c r="H110" s="6">
        <f>ROUND(MIN(100,LOG10(C110+1)*18+(10-D110)*2+IF(OR(E110="Commercial",E110="Informational / Transactional"),12,5)),0)</f>
        <v/>
      </c>
      <c r="I110" s="6">
        <f>IF(H110&gt;=85,"P1",IF(H110&gt;=70,"P2","P3"))</f>
        <v/>
      </c>
      <c r="J110" s="5" t="inlineStr">
        <is>
          <t>https://ahrefs.com/keywords-explorer</t>
        </is>
      </c>
    </row>
    <row r="111">
      <c r="A111" s="2" t="inlineStr">
        <is>
          <t>Tires &amp; Fitment</t>
        </is>
      </c>
      <c r="B111" s="3" t="inlineStr">
        <is>
          <t>honda click 125i stock tire size</t>
        </is>
      </c>
      <c r="C111" s="4" t="n">
        <v>40</v>
      </c>
      <c r="D111" s="3" t="n">
        <v>0</v>
      </c>
      <c r="E111" s="5" t="inlineStr">
        <is>
          <t>Commercial</t>
        </is>
      </c>
      <c r="F111" s="5" t="inlineStr">
        <is>
          <t>Model fitment/spec page</t>
        </is>
      </c>
      <c r="G111" s="5" t="inlineStr">
        <is>
          <t>/tires/honda-click-125i-stock-tire-size/</t>
        </is>
      </c>
      <c r="H111" s="6">
        <f>ROUND(MIN(100,LOG10(C111+1)*18+(10-D111)*2+IF(OR(E111="Commercial",E111="Informational / Transactional"),12,5)),0)</f>
        <v/>
      </c>
      <c r="I111" s="6">
        <f>IF(H111&gt;=85,"P1",IF(H111&gt;=70,"P2","P3"))</f>
        <v/>
      </c>
      <c r="J111" s="5" t="inlineStr">
        <is>
          <t>https://ahrefs.com/keywords-explorer</t>
        </is>
      </c>
    </row>
    <row r="112">
      <c r="A112" s="2" t="inlineStr">
        <is>
          <t>Tires &amp; Fitment</t>
        </is>
      </c>
      <c r="B112" s="3" t="inlineStr">
        <is>
          <t>nmax v1 stock tire size</t>
        </is>
      </c>
      <c r="C112" s="4" t="n">
        <v>40</v>
      </c>
      <c r="D112" s="3" t="n">
        <v>0</v>
      </c>
      <c r="E112" s="5" t="inlineStr">
        <is>
          <t>Commercial</t>
        </is>
      </c>
      <c r="F112" s="5" t="inlineStr">
        <is>
          <t>Model fitment/spec page</t>
        </is>
      </c>
      <c r="G112" s="5" t="inlineStr">
        <is>
          <t>/tires/nmax-v1-stock-tire-size/</t>
        </is>
      </c>
      <c r="H112" s="6">
        <f>ROUND(MIN(100,LOG10(C112+1)*18+(10-D112)*2+IF(OR(E112="Commercial",E112="Informational / Transactional"),12,5)),0)</f>
        <v/>
      </c>
      <c r="I112" s="6">
        <f>IF(H112&gt;=85,"P1",IF(H112&gt;=70,"P2","P3"))</f>
        <v/>
      </c>
      <c r="J112" s="5" t="inlineStr">
        <is>
          <t>https://ahrefs.com/keywords-explorer</t>
        </is>
      </c>
    </row>
    <row r="113">
      <c r="A113" s="2" t="inlineStr">
        <is>
          <t>Tires &amp; Fitment</t>
        </is>
      </c>
      <c r="B113" s="3" t="inlineStr">
        <is>
          <t>honda click 125 tire size</t>
        </is>
      </c>
      <c r="C113" s="4" t="n">
        <v>30</v>
      </c>
      <c r="D113" s="3" t="n">
        <v>0</v>
      </c>
      <c r="E113" s="5" t="inlineStr">
        <is>
          <t>Commercial</t>
        </is>
      </c>
      <c r="F113" s="5" t="inlineStr">
        <is>
          <t>Model fitment/spec page</t>
        </is>
      </c>
      <c r="G113" s="5" t="inlineStr">
        <is>
          <t>/tires/honda-click-125-tire-size/</t>
        </is>
      </c>
      <c r="H113" s="6">
        <f>ROUND(MIN(100,LOG10(C113+1)*18+(10-D113)*2+IF(OR(E113="Commercial",E113="Informational / Transactional"),12,5)),0)</f>
        <v/>
      </c>
      <c r="I113" s="6">
        <f>IF(H113&gt;=85,"P1",IF(H113&gt;=70,"P2","P3"))</f>
        <v/>
      </c>
      <c r="J113" s="5" t="inlineStr">
        <is>
          <t>https://ahrefs.com/keywords-explorer</t>
        </is>
      </c>
    </row>
    <row r="114">
      <c r="A114" s="2" t="inlineStr">
        <is>
          <t>Tires &amp; Fitment</t>
        </is>
      </c>
      <c r="B114" s="3" t="inlineStr">
        <is>
          <t>honda click tire size chart</t>
        </is>
      </c>
      <c r="C114" s="4" t="n">
        <v>30</v>
      </c>
      <c r="D114" s="3" t="n">
        <v>0</v>
      </c>
      <c r="E114" s="5" t="inlineStr">
        <is>
          <t>Commercial</t>
        </is>
      </c>
      <c r="F114" s="5" t="inlineStr">
        <is>
          <t>Model fitment/spec page</t>
        </is>
      </c>
      <c r="G114" s="5" t="inlineStr">
        <is>
          <t>/tires/honda-click-tire-size-chart/</t>
        </is>
      </c>
      <c r="H114" s="6">
        <f>ROUND(MIN(100,LOG10(C114+1)*18+(10-D114)*2+IF(OR(E114="Commercial",E114="Informational / Transactional"),12,5)),0)</f>
        <v/>
      </c>
      <c r="I114" s="6">
        <f>IF(H114&gt;=85,"P1",IF(H114&gt;=70,"P2","P3"))</f>
        <v/>
      </c>
      <c r="J114" s="5" t="inlineStr">
        <is>
          <t>https://ahrefs.com/keywords-explorer</t>
        </is>
      </c>
    </row>
    <row r="115">
      <c r="A115" s="2" t="inlineStr">
        <is>
          <t>Tires &amp; Fitment</t>
        </is>
      </c>
      <c r="B115" s="3" t="inlineStr">
        <is>
          <t>nmax size tire</t>
        </is>
      </c>
      <c r="C115" s="4" t="n">
        <v>30</v>
      </c>
      <c r="D115" s="3" t="n">
        <v>0</v>
      </c>
      <c r="E115" s="5" t="inlineStr">
        <is>
          <t>Commercial</t>
        </is>
      </c>
      <c r="F115" s="5" t="inlineStr">
        <is>
          <t>Model fitment/spec page</t>
        </is>
      </c>
      <c r="G115" s="5" t="inlineStr">
        <is>
          <t>/tires/nmax-size-tire/</t>
        </is>
      </c>
      <c r="H115" s="6">
        <f>ROUND(MIN(100,LOG10(C115+1)*18+(10-D115)*2+IF(OR(E115="Commercial",E115="Informational / Transactional"),12,5)),0)</f>
        <v/>
      </c>
      <c r="I115" s="6">
        <f>IF(H115&gt;=85,"P1",IF(H115&gt;=70,"P2","P3"))</f>
        <v/>
      </c>
      <c r="J115" s="5" t="inlineStr">
        <is>
          <t>https://ahrefs.com/keywords-explorer</t>
        </is>
      </c>
    </row>
    <row r="116">
      <c r="A116" s="2" t="inlineStr">
        <is>
          <t>Tires &amp; Fitment</t>
        </is>
      </c>
      <c r="B116" s="3" t="inlineStr">
        <is>
          <t>yamaha aerox tire size</t>
        </is>
      </c>
      <c r="C116" s="4" t="n">
        <v>30</v>
      </c>
      <c r="D116" s="3" t="n">
        <v>0</v>
      </c>
      <c r="E116" s="5" t="inlineStr">
        <is>
          <t>Commercial</t>
        </is>
      </c>
      <c r="F116" s="5" t="inlineStr">
        <is>
          <t>Model fitment/spec page</t>
        </is>
      </c>
      <c r="G116" s="5" t="inlineStr">
        <is>
          <t>/tires/yamaha-aerox-tire-size/</t>
        </is>
      </c>
      <c r="H116" s="6">
        <f>ROUND(MIN(100,LOG10(C116+1)*18+(10-D116)*2+IF(OR(E116="Commercial",E116="Informational / Transactional"),12,5)),0)</f>
        <v/>
      </c>
      <c r="I116" s="6">
        <f>IF(H116&gt;=85,"P1",IF(H116&gt;=70,"P2","P3"))</f>
        <v/>
      </c>
      <c r="J116" s="5" t="inlineStr">
        <is>
          <t>https://ahrefs.com/keywords-explorer</t>
        </is>
      </c>
    </row>
    <row r="117">
      <c r="A117" s="2" t="inlineStr">
        <is>
          <t>Tires &amp; Fitment</t>
        </is>
      </c>
      <c r="B117" s="3" t="inlineStr">
        <is>
          <t>honda click 125i rear tire size</t>
        </is>
      </c>
      <c r="C117" s="4" t="n">
        <v>20</v>
      </c>
      <c r="D117" s="3" t="n">
        <v>0</v>
      </c>
      <c r="E117" s="5" t="inlineStr">
        <is>
          <t>Commercial</t>
        </is>
      </c>
      <c r="F117" s="5" t="inlineStr">
        <is>
          <t>Model fitment/spec page</t>
        </is>
      </c>
      <c r="G117" s="5" t="inlineStr">
        <is>
          <t>/tires/honda-click-125i-rear-tire-size/</t>
        </is>
      </c>
      <c r="H117" s="6">
        <f>ROUND(MIN(100,LOG10(C117+1)*18+(10-D117)*2+IF(OR(E117="Commercial",E117="Informational / Transactional"),12,5)),0)</f>
        <v/>
      </c>
      <c r="I117" s="6">
        <f>IF(H117&gt;=85,"P1",IF(H117&gt;=70,"P2","P3"))</f>
        <v/>
      </c>
      <c r="J117" s="5" t="inlineStr">
        <is>
          <t>https://ahrefs.com/keywords-explorer</t>
        </is>
      </c>
    </row>
    <row r="118">
      <c r="A118" s="2" t="inlineStr">
        <is>
          <t>Tires &amp; Fitment</t>
        </is>
      </c>
      <c r="B118" s="3" t="inlineStr">
        <is>
          <t>maximum tire size for honda click 125i</t>
        </is>
      </c>
      <c r="C118" s="4" t="n">
        <v>20</v>
      </c>
      <c r="D118" s="3" t="n">
        <v>0</v>
      </c>
      <c r="E118" s="5" t="inlineStr">
        <is>
          <t>Commercial</t>
        </is>
      </c>
      <c r="F118" s="5" t="inlineStr">
        <is>
          <t>Model fitment/spec page</t>
        </is>
      </c>
      <c r="G118" s="5" t="inlineStr">
        <is>
          <t>/tires/maximum-tire-size-for-honda-click-125i/</t>
        </is>
      </c>
      <c r="H118" s="6">
        <f>ROUND(MIN(100,LOG10(C118+1)*18+(10-D118)*2+IF(OR(E118="Commercial",E118="Informational / Transactional"),12,5)),0)</f>
        <v/>
      </c>
      <c r="I118" s="6">
        <f>IF(H118&gt;=85,"P1",IF(H118&gt;=70,"P2","P3"))</f>
        <v/>
      </c>
      <c r="J118" s="5" t="inlineStr">
        <is>
          <t>https://ahrefs.com/keywords-explorer</t>
        </is>
      </c>
    </row>
    <row r="119">
      <c r="A119" s="2" t="inlineStr">
        <is>
          <t>Tires &amp; Fitment</t>
        </is>
      </c>
      <c r="B119" s="3" t="inlineStr">
        <is>
          <t>nmax tire size front and rear</t>
        </is>
      </c>
      <c r="C119" s="4" t="n">
        <v>20</v>
      </c>
      <c r="D119" s="3" t="n">
        <v>0</v>
      </c>
      <c r="E119" s="5" t="inlineStr">
        <is>
          <t>Commercial</t>
        </is>
      </c>
      <c r="F119" s="5" t="inlineStr">
        <is>
          <t>Model fitment/spec page</t>
        </is>
      </c>
      <c r="G119" s="5" t="inlineStr">
        <is>
          <t>/tires/nmax-tire-size-front-and-rear/</t>
        </is>
      </c>
      <c r="H119" s="6">
        <f>ROUND(MIN(100,LOG10(C119+1)*18+(10-D119)*2+IF(OR(E119="Commercial",E119="Informational / Transactional"),12,5)),0)</f>
        <v/>
      </c>
      <c r="I119" s="6">
        <f>IF(H119&gt;=85,"P1",IF(H119&gt;=70,"P2","P3"))</f>
        <v/>
      </c>
      <c r="J119" s="5" t="inlineStr">
        <is>
          <t>https://ahrefs.com/keywords-explorer</t>
        </is>
      </c>
    </row>
    <row r="120">
      <c r="A120" s="2" t="inlineStr">
        <is>
          <t>Tires &amp; Fitment</t>
        </is>
      </c>
      <c r="B120" s="3" t="inlineStr">
        <is>
          <t>tire size for honda click 125i</t>
        </is>
      </c>
      <c r="C120" s="4" t="n">
        <v>20</v>
      </c>
      <c r="D120" s="3" t="n">
        <v>0</v>
      </c>
      <c r="E120" s="5" t="inlineStr">
        <is>
          <t>Commercial</t>
        </is>
      </c>
      <c r="F120" s="5" t="inlineStr">
        <is>
          <t>Model fitment/spec page</t>
        </is>
      </c>
      <c r="G120" s="5" t="inlineStr">
        <is>
          <t>/tires/tire-size-for-honda-click-125i/</t>
        </is>
      </c>
      <c r="H120" s="6">
        <f>ROUND(MIN(100,LOG10(C120+1)*18+(10-D120)*2+IF(OR(E120="Commercial",E120="Informational / Transactional"),12,5)),0)</f>
        <v/>
      </c>
      <c r="I120" s="6">
        <f>IF(H120&gt;=85,"P1",IF(H120&gt;=70,"P2","P3"))</f>
        <v/>
      </c>
      <c r="J120" s="5" t="inlineStr">
        <is>
          <t>https://ahrefs.com/keywords-explorer</t>
        </is>
      </c>
    </row>
    <row r="121">
      <c r="A121" s="2" t="inlineStr">
        <is>
          <t>Helmets &amp; Safety</t>
        </is>
      </c>
      <c r="B121" s="3" t="inlineStr">
        <is>
          <t>kyt helmet</t>
        </is>
      </c>
      <c r="C121" s="4" t="n">
        <v>11000</v>
      </c>
      <c r="D121" s="3" t="n">
        <v>0</v>
      </c>
      <c r="E121" s="5" t="inlineStr">
        <is>
          <t>Commercial</t>
        </is>
      </c>
      <c r="F121" s="5" t="inlineStr">
        <is>
          <t>Brand/category hub</t>
        </is>
      </c>
      <c r="G121" s="5" t="inlineStr">
        <is>
          <t>/gear/helmets/kyt-helmet/</t>
        </is>
      </c>
      <c r="H121" s="6">
        <f>ROUND(MIN(100,LOG10(C121+1)*18+(10-D121)*2+IF(OR(E121="Commercial",E121="Informational / Transactional"),12,5)),0)</f>
        <v/>
      </c>
      <c r="I121" s="6">
        <f>IF(H121&gt;=85,"P1",IF(H121&gt;=70,"P2","P3"))</f>
        <v/>
      </c>
      <c r="J121" s="5" t="inlineStr">
        <is>
          <t>https://ahrefs.com/keywords-explorer</t>
        </is>
      </c>
    </row>
    <row r="122">
      <c r="A122" s="2" t="inlineStr">
        <is>
          <t>Helmets &amp; Safety</t>
        </is>
      </c>
      <c r="B122" s="3" t="inlineStr">
        <is>
          <t>spyder helmet</t>
        </is>
      </c>
      <c r="C122" s="4" t="n">
        <v>11000</v>
      </c>
      <c r="D122" s="3" t="n">
        <v>0</v>
      </c>
      <c r="E122" s="5" t="inlineStr">
        <is>
          <t>Commercial</t>
        </is>
      </c>
      <c r="F122" s="5" t="inlineStr">
        <is>
          <t>Brand/category hub</t>
        </is>
      </c>
      <c r="G122" s="5" t="inlineStr">
        <is>
          <t>/gear/helmets/spyder-helmet/</t>
        </is>
      </c>
      <c r="H122" s="6">
        <f>ROUND(MIN(100,LOG10(C122+1)*18+(10-D122)*2+IF(OR(E122="Commercial",E122="Informational / Transactional"),12,5)),0)</f>
        <v/>
      </c>
      <c r="I122" s="6">
        <f>IF(H122&gt;=85,"P1",IF(H122&gt;=70,"P2","P3"))</f>
        <v/>
      </c>
      <c r="J122" s="5" t="inlineStr">
        <is>
          <t>https://ahrefs.com/keywords-explorer</t>
        </is>
      </c>
    </row>
    <row r="123">
      <c r="A123" s="2" t="inlineStr">
        <is>
          <t>Helmets &amp; Safety</t>
        </is>
      </c>
      <c r="B123" s="3" t="inlineStr">
        <is>
          <t>gille helmet</t>
        </is>
      </c>
      <c r="C123" s="4" t="n">
        <v>8600</v>
      </c>
      <c r="D123" s="3" t="n">
        <v>0</v>
      </c>
      <c r="E123" s="5" t="inlineStr">
        <is>
          <t>Commercial</t>
        </is>
      </c>
      <c r="F123" s="5" t="inlineStr">
        <is>
          <t>Brand/category hub</t>
        </is>
      </c>
      <c r="G123" s="5" t="inlineStr">
        <is>
          <t>/gear/helmets/gille-helmet/</t>
        </is>
      </c>
      <c r="H123" s="6">
        <f>ROUND(MIN(100,LOG10(C123+1)*18+(10-D123)*2+IF(OR(E123="Commercial",E123="Informational / Transactional"),12,5)),0)</f>
        <v/>
      </c>
      <c r="I123" s="6">
        <f>IF(H123&gt;=85,"P1",IF(H123&gt;=70,"P2","P3"))</f>
        <v/>
      </c>
      <c r="J123" s="5" t="inlineStr">
        <is>
          <t>https://ahrefs.com/keywords-explorer</t>
        </is>
      </c>
    </row>
    <row r="124">
      <c r="A124" s="2" t="inlineStr">
        <is>
          <t>Helmets &amp; Safety</t>
        </is>
      </c>
      <c r="B124" s="3" t="inlineStr">
        <is>
          <t>evo helmet</t>
        </is>
      </c>
      <c r="C124" s="4" t="n">
        <v>7900</v>
      </c>
      <c r="D124" s="3" t="n">
        <v>0</v>
      </c>
      <c r="E124" s="5" t="inlineStr">
        <is>
          <t>Commercial</t>
        </is>
      </c>
      <c r="F124" s="5" t="inlineStr">
        <is>
          <t>Brand/category hub</t>
        </is>
      </c>
      <c r="G124" s="5" t="inlineStr">
        <is>
          <t>/gear/helmets/evo-helmet/</t>
        </is>
      </c>
      <c r="H124" s="6">
        <f>ROUND(MIN(100,LOG10(C124+1)*18+(10-D124)*2+IF(OR(E124="Commercial",E124="Informational / Transactional"),12,5)),0)</f>
        <v/>
      </c>
      <c r="I124" s="6">
        <f>IF(H124&gt;=85,"P1",IF(H124&gt;=70,"P2","P3"))</f>
        <v/>
      </c>
      <c r="J124" s="5" t="inlineStr">
        <is>
          <t>https://ahrefs.com/keywords-explorer</t>
        </is>
      </c>
    </row>
    <row r="125">
      <c r="A125" s="2" t="inlineStr">
        <is>
          <t>Helmets &amp; Safety</t>
        </is>
      </c>
      <c r="B125" s="3" t="inlineStr">
        <is>
          <t>helmet</t>
        </is>
      </c>
      <c r="C125" s="4" t="n">
        <v>7300</v>
      </c>
      <c r="D125" s="3" t="n">
        <v>2</v>
      </c>
      <c r="E125" s="5" t="inlineStr">
        <is>
          <t>Commercial</t>
        </is>
      </c>
      <c r="F125" s="5" t="inlineStr">
        <is>
          <t>Brand/category hub</t>
        </is>
      </c>
      <c r="G125" s="5" t="inlineStr">
        <is>
          <t>/gear/helmets/helmet/</t>
        </is>
      </c>
      <c r="H125" s="6">
        <f>ROUND(MIN(100,LOG10(C125+1)*18+(10-D125)*2+IF(OR(E125="Commercial",E125="Informational / Transactional"),12,5)),0)</f>
        <v/>
      </c>
      <c r="I125" s="6">
        <f>IF(H125&gt;=85,"P1",IF(H125&gt;=70,"P2","P3"))</f>
        <v/>
      </c>
      <c r="J125" s="5" t="inlineStr">
        <is>
          <t>https://ahrefs.com/keywords-explorer</t>
        </is>
      </c>
    </row>
    <row r="126">
      <c r="A126" s="2" t="inlineStr">
        <is>
          <t>Helmets &amp; Safety</t>
        </is>
      </c>
      <c r="B126" s="3" t="inlineStr">
        <is>
          <t>evo helmet price</t>
        </is>
      </c>
      <c r="C126" s="4" t="n">
        <v>7200</v>
      </c>
      <c r="D126" s="3" t="n">
        <v>0</v>
      </c>
      <c r="E126" s="5" t="inlineStr">
        <is>
          <t>Commercial</t>
        </is>
      </c>
      <c r="F126" s="5" t="inlineStr">
        <is>
          <t>Brand/model price page</t>
        </is>
      </c>
      <c r="G126" s="5" t="inlineStr">
        <is>
          <t>/gear/helmets/evo-helmet-price/</t>
        </is>
      </c>
      <c r="H126" s="6">
        <f>ROUND(MIN(100,LOG10(C126+1)*18+(10-D126)*2+IF(OR(E126="Commercial",E126="Informational / Transactional"),12,5)),0)</f>
        <v/>
      </c>
      <c r="I126" s="6">
        <f>IF(H126&gt;=85,"P1",IF(H126&gt;=70,"P2","P3"))</f>
        <v/>
      </c>
      <c r="J126" s="5" t="inlineStr">
        <is>
          <t>https://ahrefs.com/keywords-explorer</t>
        </is>
      </c>
    </row>
    <row r="127">
      <c r="A127" s="2" t="inlineStr">
        <is>
          <t>Helmets &amp; Safety</t>
        </is>
      </c>
      <c r="B127" s="3" t="inlineStr">
        <is>
          <t>sec helmet</t>
        </is>
      </c>
      <c r="C127" s="4" t="n">
        <v>6100</v>
      </c>
      <c r="D127" s="3" t="n">
        <v>0</v>
      </c>
      <c r="E127" s="5" t="inlineStr">
        <is>
          <t>Commercial</t>
        </is>
      </c>
      <c r="F127" s="5" t="inlineStr">
        <is>
          <t>Brand/category hub</t>
        </is>
      </c>
      <c r="G127" s="5" t="inlineStr">
        <is>
          <t>/gear/helmets/sec-helmet/</t>
        </is>
      </c>
      <c r="H127" s="6">
        <f>ROUND(MIN(100,LOG10(C127+1)*18+(10-D127)*2+IF(OR(E127="Commercial",E127="Informational / Transactional"),12,5)),0)</f>
        <v/>
      </c>
      <c r="I127" s="6">
        <f>IF(H127&gt;=85,"P1",IF(H127&gt;=70,"P2","P3"))</f>
        <v/>
      </c>
      <c r="J127" s="5" t="inlineStr">
        <is>
          <t>https://ahrefs.com/keywords-explorer</t>
        </is>
      </c>
    </row>
    <row r="128">
      <c r="A128" s="2" t="inlineStr">
        <is>
          <t>Helmets &amp; Safety</t>
        </is>
      </c>
      <c r="B128" s="3" t="inlineStr">
        <is>
          <t>rook helmet</t>
        </is>
      </c>
      <c r="C128" s="4" t="n">
        <v>3900</v>
      </c>
      <c r="D128" s="3" t="n">
        <v>0</v>
      </c>
      <c r="E128" s="5" t="inlineStr">
        <is>
          <t>Commercial</t>
        </is>
      </c>
      <c r="F128" s="5" t="inlineStr">
        <is>
          <t>Brand/category hub</t>
        </is>
      </c>
      <c r="G128" s="5" t="inlineStr">
        <is>
          <t>/gear/helmets/rook-helmet/</t>
        </is>
      </c>
      <c r="H128" s="6">
        <f>ROUND(MIN(100,LOG10(C128+1)*18+(10-D128)*2+IF(OR(E128="Commercial",E128="Informational / Transactional"),12,5)),0)</f>
        <v/>
      </c>
      <c r="I128" s="6">
        <f>IF(H128&gt;=85,"P1",IF(H128&gt;=70,"P2","P3"))</f>
        <v/>
      </c>
      <c r="J128" s="5" t="inlineStr">
        <is>
          <t>https://ahrefs.com/keywords-explorer</t>
        </is>
      </c>
    </row>
    <row r="129">
      <c r="A129" s="2" t="inlineStr">
        <is>
          <t>Helmets &amp; Safety</t>
        </is>
      </c>
      <c r="B129" s="3" t="inlineStr">
        <is>
          <t>shoei helmet</t>
        </is>
      </c>
      <c r="C129" s="4" t="n">
        <v>3800</v>
      </c>
      <c r="D129" s="3" t="n">
        <v>6</v>
      </c>
      <c r="E129" s="5" t="inlineStr">
        <is>
          <t>Commercial</t>
        </is>
      </c>
      <c r="F129" s="5" t="inlineStr">
        <is>
          <t>Brand/category hub</t>
        </is>
      </c>
      <c r="G129" s="5" t="inlineStr">
        <is>
          <t>/gear/helmets/shoei-helmet/</t>
        </is>
      </c>
      <c r="H129" s="6">
        <f>ROUND(MIN(100,LOG10(C129+1)*18+(10-D129)*2+IF(OR(E129="Commercial",E129="Informational / Transactional"),12,5)),0)</f>
        <v/>
      </c>
      <c r="I129" s="6">
        <f>IF(H129&gt;=85,"P1",IF(H129&gt;=70,"P2","P3"))</f>
        <v/>
      </c>
      <c r="J129" s="5" t="inlineStr">
        <is>
          <t>https://ahrefs.com/keywords-explorer</t>
        </is>
      </c>
    </row>
    <row r="130">
      <c r="A130" s="2" t="inlineStr">
        <is>
          <t>Helmets &amp; Safety</t>
        </is>
      </c>
      <c r="B130" s="3" t="inlineStr">
        <is>
          <t>half face helmet</t>
        </is>
      </c>
      <c r="C130" s="4" t="n">
        <v>3500</v>
      </c>
      <c r="D130" s="3" t="n">
        <v>0</v>
      </c>
      <c r="E130" s="5" t="inlineStr">
        <is>
          <t>Commercial</t>
        </is>
      </c>
      <c r="F130" s="5" t="inlineStr">
        <is>
          <t>Brand/category hub</t>
        </is>
      </c>
      <c r="G130" s="5" t="inlineStr">
        <is>
          <t>/gear/helmets/half-face-helmet/</t>
        </is>
      </c>
      <c r="H130" s="6">
        <f>ROUND(MIN(100,LOG10(C130+1)*18+(10-D130)*2+IF(OR(E130="Commercial",E130="Informational / Transactional"),12,5)),0)</f>
        <v/>
      </c>
      <c r="I130" s="6">
        <f>IF(H130&gt;=85,"P1",IF(H130&gt;=70,"P2","P3"))</f>
        <v/>
      </c>
      <c r="J130" s="5" t="inlineStr">
        <is>
          <t>https://ahrefs.com/keywords-explorer</t>
        </is>
      </c>
    </row>
    <row r="131">
      <c r="A131" s="2" t="inlineStr">
        <is>
          <t>Helmets &amp; Safety</t>
        </is>
      </c>
      <c r="B131" s="3" t="inlineStr">
        <is>
          <t>zebra helmet</t>
        </is>
      </c>
      <c r="C131" s="4" t="n">
        <v>3100</v>
      </c>
      <c r="D131" s="3" t="n">
        <v>0</v>
      </c>
      <c r="E131" s="5" t="inlineStr">
        <is>
          <t>Commercial</t>
        </is>
      </c>
      <c r="F131" s="5" t="inlineStr">
        <is>
          <t>Brand/category hub</t>
        </is>
      </c>
      <c r="G131" s="5" t="inlineStr">
        <is>
          <t>/gear/helmets/zebra-helmet/</t>
        </is>
      </c>
      <c r="H131" s="6">
        <f>ROUND(MIN(100,LOG10(C131+1)*18+(10-D131)*2+IF(OR(E131="Commercial",E131="Informational / Transactional"),12,5)),0)</f>
        <v/>
      </c>
      <c r="I131" s="6">
        <f>IF(H131&gt;=85,"P1",IF(H131&gt;=70,"P2","P3"))</f>
        <v/>
      </c>
      <c r="J131" s="5" t="inlineStr">
        <is>
          <t>https://ahrefs.com/keywords-explorer</t>
        </is>
      </c>
    </row>
    <row r="132">
      <c r="A132" s="2" t="inlineStr">
        <is>
          <t>Helmets &amp; Safety</t>
        </is>
      </c>
      <c r="B132" s="3" t="inlineStr">
        <is>
          <t>hnj helmet</t>
        </is>
      </c>
      <c r="C132" s="4" t="n">
        <v>2700</v>
      </c>
      <c r="D132" s="3" t="n">
        <v>0</v>
      </c>
      <c r="E132" s="5" t="inlineStr">
        <is>
          <t>Commercial</t>
        </is>
      </c>
      <c r="F132" s="5" t="inlineStr">
        <is>
          <t>Brand/category hub</t>
        </is>
      </c>
      <c r="G132" s="5" t="inlineStr">
        <is>
          <t>/gear/helmets/hnj-helmet/</t>
        </is>
      </c>
      <c r="H132" s="6">
        <f>ROUND(MIN(100,LOG10(C132+1)*18+(10-D132)*2+IF(OR(E132="Commercial",E132="Informational / Transactional"),12,5)),0)</f>
        <v/>
      </c>
      <c r="I132" s="6">
        <f>IF(H132&gt;=85,"P1",IF(H132&gt;=70,"P2","P3"))</f>
        <v/>
      </c>
      <c r="J132" s="5" t="inlineStr">
        <is>
          <t>https://ahrefs.com/keywords-explorer</t>
        </is>
      </c>
    </row>
    <row r="133">
      <c r="A133" s="2" t="inlineStr">
        <is>
          <t>Helmets &amp; Safety</t>
        </is>
      </c>
      <c r="B133" s="3" t="inlineStr">
        <is>
          <t>hjc helmet price</t>
        </is>
      </c>
      <c r="C133" s="4" t="n">
        <v>2400</v>
      </c>
      <c r="D133" s="3" t="n">
        <v>0</v>
      </c>
      <c r="E133" s="5" t="inlineStr">
        <is>
          <t>Commercial</t>
        </is>
      </c>
      <c r="F133" s="5" t="inlineStr">
        <is>
          <t>Brand/model price page</t>
        </is>
      </c>
      <c r="G133" s="5" t="inlineStr">
        <is>
          <t>/gear/helmets/hjc-helmet-price/</t>
        </is>
      </c>
      <c r="H133" s="6">
        <f>ROUND(MIN(100,LOG10(C133+1)*18+(10-D133)*2+IF(OR(E133="Commercial",E133="Informational / Transactional"),12,5)),0)</f>
        <v/>
      </c>
      <c r="I133" s="6">
        <f>IF(H133&gt;=85,"P1",IF(H133&gt;=70,"P2","P3"))</f>
        <v/>
      </c>
      <c r="J133" s="5" t="inlineStr">
        <is>
          <t>https://ahrefs.com/keywords-explorer</t>
        </is>
      </c>
    </row>
    <row r="134">
      <c r="A134" s="2" t="inlineStr">
        <is>
          <t>Helmets &amp; Safety</t>
        </is>
      </c>
      <c r="B134" s="3" t="inlineStr">
        <is>
          <t>spyder helmet price</t>
        </is>
      </c>
      <c r="C134" s="4" t="n">
        <v>2200</v>
      </c>
      <c r="D134" s="3" t="n">
        <v>0</v>
      </c>
      <c r="E134" s="5" t="inlineStr">
        <is>
          <t>Commercial</t>
        </is>
      </c>
      <c r="F134" s="5" t="inlineStr">
        <is>
          <t>Brand/model price page</t>
        </is>
      </c>
      <c r="G134" s="5" t="inlineStr">
        <is>
          <t>/gear/helmets/spyder-helmet-price/</t>
        </is>
      </c>
      <c r="H134" s="6">
        <f>ROUND(MIN(100,LOG10(C134+1)*18+(10-D134)*2+IF(OR(E134="Commercial",E134="Informational / Transactional"),12,5)),0)</f>
        <v/>
      </c>
      <c r="I134" s="6">
        <f>IF(H134&gt;=85,"P1",IF(H134&gt;=70,"P2","P3"))</f>
        <v/>
      </c>
      <c r="J134" s="5" t="inlineStr">
        <is>
          <t>https://ahrefs.com/keywords-explorer</t>
        </is>
      </c>
    </row>
    <row r="135">
      <c r="A135" s="2" t="inlineStr">
        <is>
          <t>Helmets &amp; Safety</t>
        </is>
      </c>
      <c r="B135" s="3" t="inlineStr">
        <is>
          <t>modular helmet</t>
        </is>
      </c>
      <c r="C135" s="4" t="n">
        <v>2100</v>
      </c>
      <c r="D135" s="3" t="n">
        <v>0</v>
      </c>
      <c r="E135" s="5" t="inlineStr">
        <is>
          <t>Commercial</t>
        </is>
      </c>
      <c r="F135" s="5" t="inlineStr">
        <is>
          <t>Brand/category hub</t>
        </is>
      </c>
      <c r="G135" s="5" t="inlineStr">
        <is>
          <t>/gear/helmets/modular-helmet/</t>
        </is>
      </c>
      <c r="H135" s="6">
        <f>ROUND(MIN(100,LOG10(C135+1)*18+(10-D135)*2+IF(OR(E135="Commercial",E135="Informational / Transactional"),12,5)),0)</f>
        <v/>
      </c>
      <c r="I135" s="6">
        <f>IF(H135&gt;=85,"P1",IF(H135&gt;=70,"P2","P3"))</f>
        <v/>
      </c>
      <c r="J135" s="5" t="inlineStr">
        <is>
          <t>https://ahrefs.com/keywords-explorer</t>
        </is>
      </c>
    </row>
    <row r="136">
      <c r="A136" s="2" t="inlineStr">
        <is>
          <t>Helmets &amp; Safety</t>
        </is>
      </c>
      <c r="B136" s="3" t="inlineStr">
        <is>
          <t>mt helmet</t>
        </is>
      </c>
      <c r="C136" s="4" t="n">
        <v>1900</v>
      </c>
      <c r="D136" s="3" t="n">
        <v>0</v>
      </c>
      <c r="E136" s="5" t="inlineStr">
        <is>
          <t>Commercial</t>
        </is>
      </c>
      <c r="F136" s="5" t="inlineStr">
        <is>
          <t>Brand/category hub</t>
        </is>
      </c>
      <c r="G136" s="5" t="inlineStr">
        <is>
          <t>/gear/helmets/mt-helmet/</t>
        </is>
      </c>
      <c r="H136" s="6">
        <f>ROUND(MIN(100,LOG10(C136+1)*18+(10-D136)*2+IF(OR(E136="Commercial",E136="Informational / Transactional"),12,5)),0)</f>
        <v/>
      </c>
      <c r="I136" s="6">
        <f>IF(H136&gt;=85,"P1",IF(H136&gt;=70,"P2","P3"))</f>
        <v/>
      </c>
      <c r="J136" s="5" t="inlineStr">
        <is>
          <t>https://ahrefs.com/keywords-explorer</t>
        </is>
      </c>
    </row>
    <row r="137">
      <c r="A137" s="2" t="inlineStr">
        <is>
          <t>Helmets &amp; Safety</t>
        </is>
      </c>
      <c r="B137" s="3" t="inlineStr">
        <is>
          <t>motorcycle helmet</t>
        </is>
      </c>
      <c r="C137" s="4" t="n">
        <v>1800</v>
      </c>
      <c r="D137" s="3" t="n">
        <v>0</v>
      </c>
      <c r="E137" s="5" t="inlineStr">
        <is>
          <t>Commercial</t>
        </is>
      </c>
      <c r="F137" s="5" t="inlineStr">
        <is>
          <t>Brand/category hub</t>
        </is>
      </c>
      <c r="G137" s="5" t="inlineStr">
        <is>
          <t>/gear/helmets/motorcycle-helmet/</t>
        </is>
      </c>
      <c r="H137" s="6">
        <f>ROUND(MIN(100,LOG10(C137+1)*18+(10-D137)*2+IF(OR(E137="Commercial",E137="Informational / Transactional"),12,5)),0)</f>
        <v/>
      </c>
      <c r="I137" s="6">
        <f>IF(H137&gt;=85,"P1",IF(H137&gt;=70,"P2","P3"))</f>
        <v/>
      </c>
      <c r="J137" s="5" t="inlineStr">
        <is>
          <t>https://ahrefs.com/keywords-explorer</t>
        </is>
      </c>
    </row>
    <row r="138">
      <c r="A138" s="2" t="inlineStr">
        <is>
          <t>Helmets &amp; Safety</t>
        </is>
      </c>
      <c r="B138" s="3" t="inlineStr">
        <is>
          <t>bell helmet</t>
        </is>
      </c>
      <c r="C138" s="4" t="n">
        <v>1700</v>
      </c>
      <c r="D138" s="3" t="n">
        <v>7</v>
      </c>
      <c r="E138" s="5" t="inlineStr">
        <is>
          <t>Commercial</t>
        </is>
      </c>
      <c r="F138" s="5" t="inlineStr">
        <is>
          <t>Brand/category hub</t>
        </is>
      </c>
      <c r="G138" s="5" t="inlineStr">
        <is>
          <t>/gear/helmets/bell-helmet/</t>
        </is>
      </c>
      <c r="H138" s="6">
        <f>ROUND(MIN(100,LOG10(C138+1)*18+(10-D138)*2+IF(OR(E138="Commercial",E138="Informational / Transactional"),12,5)),0)</f>
        <v/>
      </c>
      <c r="I138" s="6">
        <f>IF(H138&gt;=85,"P1",IF(H138&gt;=70,"P2","P3"))</f>
        <v/>
      </c>
      <c r="J138" s="5" t="inlineStr">
        <is>
          <t>https://ahrefs.com/keywords-explorer</t>
        </is>
      </c>
    </row>
    <row r="139">
      <c r="A139" s="2" t="inlineStr">
        <is>
          <t>Helmets &amp; Safety</t>
        </is>
      </c>
      <c r="B139" s="3" t="inlineStr">
        <is>
          <t>classic helmet</t>
        </is>
      </c>
      <c r="C139" s="4" t="n">
        <v>1700</v>
      </c>
      <c r="D139" s="3" t="n">
        <v>0</v>
      </c>
      <c r="E139" s="5" t="inlineStr">
        <is>
          <t>Commercial</t>
        </is>
      </c>
      <c r="F139" s="5" t="inlineStr">
        <is>
          <t>Brand/category hub</t>
        </is>
      </c>
      <c r="G139" s="5" t="inlineStr">
        <is>
          <t>/gear/helmets/classic-helmet/</t>
        </is>
      </c>
      <c r="H139" s="6">
        <f>ROUND(MIN(100,LOG10(C139+1)*18+(10-D139)*2+IF(OR(E139="Commercial",E139="Informational / Transactional"),12,5)),0)</f>
        <v/>
      </c>
      <c r="I139" s="6">
        <f>IF(H139&gt;=85,"P1",IF(H139&gt;=70,"P2","P3"))</f>
        <v/>
      </c>
      <c r="J139" s="5" t="inlineStr">
        <is>
          <t>https://ahrefs.com/keywords-explorer</t>
        </is>
      </c>
    </row>
    <row r="140">
      <c r="A140" s="2" t="inlineStr">
        <is>
          <t>Helmets &amp; Safety</t>
        </is>
      </c>
      <c r="B140" s="3" t="inlineStr">
        <is>
          <t>full face helmet</t>
        </is>
      </c>
      <c r="C140" s="4" t="n">
        <v>1500</v>
      </c>
      <c r="D140" s="3" t="n">
        <v>0</v>
      </c>
      <c r="E140" s="5" t="inlineStr">
        <is>
          <t>Commercial</t>
        </is>
      </c>
      <c r="F140" s="5" t="inlineStr">
        <is>
          <t>Brand/category hub</t>
        </is>
      </c>
      <c r="G140" s="5" t="inlineStr">
        <is>
          <t>/gear/helmets/full-face-helmet/</t>
        </is>
      </c>
      <c r="H140" s="6">
        <f>ROUND(MIN(100,LOG10(C140+1)*18+(10-D140)*2+IF(OR(E140="Commercial",E140="Informational / Transactional"),12,5)),0)</f>
        <v/>
      </c>
      <c r="I140" s="6">
        <f>IF(H140&gt;=85,"P1",IF(H140&gt;=70,"P2","P3"))</f>
        <v/>
      </c>
      <c r="J140" s="5" t="inlineStr">
        <is>
          <t>https://ahrefs.com/keywords-explorer</t>
        </is>
      </c>
    </row>
    <row r="141">
      <c r="A141" s="2" t="inlineStr">
        <is>
          <t>Helmets &amp; Safety</t>
        </is>
      </c>
      <c r="B141" s="3" t="inlineStr">
        <is>
          <t>shoei helmet price</t>
        </is>
      </c>
      <c r="C141" s="4" t="n">
        <v>1500</v>
      </c>
      <c r="D141" s="3" t="n">
        <v>5</v>
      </c>
      <c r="E141" s="5" t="inlineStr">
        <is>
          <t>Commercial</t>
        </is>
      </c>
      <c r="F141" s="5" t="inlineStr">
        <is>
          <t>Brand/model price page</t>
        </is>
      </c>
      <c r="G141" s="5" t="inlineStr">
        <is>
          <t>/gear/helmets/shoei-helmet-price/</t>
        </is>
      </c>
      <c r="H141" s="6">
        <f>ROUND(MIN(100,LOG10(C141+1)*18+(10-D141)*2+IF(OR(E141="Commercial",E141="Informational / Transactional"),12,5)),0)</f>
        <v/>
      </c>
      <c r="I141" s="6">
        <f>IF(H141&gt;=85,"P1",IF(H141&gt;=70,"P2","P3"))</f>
        <v/>
      </c>
      <c r="J141" s="5" t="inlineStr">
        <is>
          <t>https://ahrefs.com/keywords-explorer</t>
        </is>
      </c>
    </row>
    <row r="142">
      <c r="A142" s="2" t="inlineStr">
        <is>
          <t>Helmets &amp; Safety</t>
        </is>
      </c>
      <c r="B142" s="3" t="inlineStr">
        <is>
          <t>agv helmet price</t>
        </is>
      </c>
      <c r="C142" s="4" t="n">
        <v>1400</v>
      </c>
      <c r="D142" s="3" t="n">
        <v>0</v>
      </c>
      <c r="E142" s="5" t="inlineStr">
        <is>
          <t>Commercial</t>
        </is>
      </c>
      <c r="F142" s="5" t="inlineStr">
        <is>
          <t>Brand/model price page</t>
        </is>
      </c>
      <c r="G142" s="5" t="inlineStr">
        <is>
          <t>/gear/helmets/agv-helmet-price/</t>
        </is>
      </c>
      <c r="H142" s="6">
        <f>ROUND(MIN(100,LOG10(C142+1)*18+(10-D142)*2+IF(OR(E142="Commercial",E142="Informational / Transactional"),12,5)),0)</f>
        <v/>
      </c>
      <c r="I142" s="6">
        <f>IF(H142&gt;=85,"P1",IF(H142&gt;=70,"P2","P3"))</f>
        <v/>
      </c>
      <c r="J142" s="5" t="inlineStr">
        <is>
          <t>https://ahrefs.com/keywords-explorer</t>
        </is>
      </c>
    </row>
    <row r="143">
      <c r="A143" s="2" t="inlineStr">
        <is>
          <t>Helmets &amp; Safety</t>
        </is>
      </c>
      <c r="B143" s="3" t="inlineStr">
        <is>
          <t>visor helmet</t>
        </is>
      </c>
      <c r="C143" s="4" t="n">
        <v>1400</v>
      </c>
      <c r="D143" s="3" t="n">
        <v>0</v>
      </c>
      <c r="E143" s="5" t="inlineStr">
        <is>
          <t>Commercial</t>
        </is>
      </c>
      <c r="F143" s="5" t="inlineStr">
        <is>
          <t>Brand/category hub</t>
        </is>
      </c>
      <c r="G143" s="5" t="inlineStr">
        <is>
          <t>/gear/helmets/visor-helmet/</t>
        </is>
      </c>
      <c r="H143" s="6">
        <f>ROUND(MIN(100,LOG10(C143+1)*18+(10-D143)*2+IF(OR(E143="Commercial",E143="Informational / Transactional"),12,5)),0)</f>
        <v/>
      </c>
      <c r="I143" s="6">
        <f>IF(H143&gt;=85,"P1",IF(H143&gt;=70,"P2","P3"))</f>
        <v/>
      </c>
      <c r="J143" s="5" t="inlineStr">
        <is>
          <t>https://ahrefs.com/keywords-explorer</t>
        </is>
      </c>
    </row>
    <row r="144">
      <c r="A144" s="2" t="inlineStr">
        <is>
          <t>Helmets &amp; Safety</t>
        </is>
      </c>
      <c r="B144" s="3" t="inlineStr">
        <is>
          <t>shark helmet price</t>
        </is>
      </c>
      <c r="C144" s="4" t="n">
        <v>1300</v>
      </c>
      <c r="D144" s="3" t="n">
        <v>0</v>
      </c>
      <c r="E144" s="5" t="inlineStr">
        <is>
          <t>Commercial</t>
        </is>
      </c>
      <c r="F144" s="5" t="inlineStr">
        <is>
          <t>Brand/model price page</t>
        </is>
      </c>
      <c r="G144" s="5" t="inlineStr">
        <is>
          <t>/gear/helmets/shark-helmet-price/</t>
        </is>
      </c>
      <c r="H144" s="6">
        <f>ROUND(MIN(100,LOG10(C144+1)*18+(10-D144)*2+IF(OR(E144="Commercial",E144="Informational / Transactional"),12,5)),0)</f>
        <v/>
      </c>
      <c r="I144" s="6">
        <f>IF(H144&gt;=85,"P1",IF(H144&gt;=70,"P2","P3"))</f>
        <v/>
      </c>
      <c r="J144" s="5" t="inlineStr">
        <is>
          <t>https://ahrefs.com/keywords-explorer</t>
        </is>
      </c>
    </row>
    <row r="145">
      <c r="A145" s="2" t="inlineStr">
        <is>
          <t>Helmets &amp; Safety</t>
        </is>
      </c>
      <c r="B145" s="3" t="inlineStr">
        <is>
          <t>rxr helmet</t>
        </is>
      </c>
      <c r="C145" s="4" t="n">
        <v>1200</v>
      </c>
      <c r="D145" s="3" t="n">
        <v>0</v>
      </c>
      <c r="E145" s="5" t="inlineStr">
        <is>
          <t>Commercial</t>
        </is>
      </c>
      <c r="F145" s="5" t="inlineStr">
        <is>
          <t>Brand/category hub</t>
        </is>
      </c>
      <c r="G145" s="5" t="inlineStr">
        <is>
          <t>/gear/helmets/rxr-helmet/</t>
        </is>
      </c>
      <c r="H145" s="6">
        <f>ROUND(MIN(100,LOG10(C145+1)*18+(10-D145)*2+IF(OR(E145="Commercial",E145="Informational / Transactional"),12,5)),0)</f>
        <v/>
      </c>
      <c r="I145" s="6">
        <f>IF(H145&gt;=85,"P1",IF(H145&gt;=70,"P2","P3"))</f>
        <v/>
      </c>
      <c r="J145" s="5" t="inlineStr">
        <is>
          <t>https://ahrefs.com/keywords-explorer</t>
        </is>
      </c>
    </row>
    <row r="146">
      <c r="A146" s="2" t="inlineStr">
        <is>
          <t>Helmets &amp; Safety</t>
        </is>
      </c>
      <c r="B146" s="3" t="inlineStr">
        <is>
          <t>arai helmet price philippines</t>
        </is>
      </c>
      <c r="C146" s="4" t="n">
        <v>1100</v>
      </c>
      <c r="D146" s="3" t="n">
        <v>0</v>
      </c>
      <c r="E146" s="5" t="inlineStr">
        <is>
          <t>Commercial</t>
        </is>
      </c>
      <c r="F146" s="5" t="inlineStr">
        <is>
          <t>Brand/model price page</t>
        </is>
      </c>
      <c r="G146" s="5" t="inlineStr">
        <is>
          <t>/gear/helmets/arai-helmet-price-philippines/</t>
        </is>
      </c>
      <c r="H146" s="6">
        <f>ROUND(MIN(100,LOG10(C146+1)*18+(10-D146)*2+IF(OR(E146="Commercial",E146="Informational / Transactional"),12,5)),0)</f>
        <v/>
      </c>
      <c r="I146" s="6">
        <f>IF(H146&gt;=85,"P1",IF(H146&gt;=70,"P2","P3"))</f>
        <v/>
      </c>
      <c r="J146" s="5" t="inlineStr">
        <is>
          <t>https://ahrefs.com/keywords-explorer</t>
        </is>
      </c>
    </row>
    <row r="147">
      <c r="A147" s="2" t="inlineStr">
        <is>
          <t>Helmets &amp; Safety</t>
        </is>
      </c>
      <c r="B147" s="3" t="inlineStr">
        <is>
          <t>gille helmet price</t>
        </is>
      </c>
      <c r="C147" s="4" t="n">
        <v>1100</v>
      </c>
      <c r="D147" s="3" t="n">
        <v>0</v>
      </c>
      <c r="E147" s="5" t="inlineStr">
        <is>
          <t>Commercial</t>
        </is>
      </c>
      <c r="F147" s="5" t="inlineStr">
        <is>
          <t>Brand/model price page</t>
        </is>
      </c>
      <c r="G147" s="5" t="inlineStr">
        <is>
          <t>/gear/helmets/gille-helmet-price/</t>
        </is>
      </c>
      <c r="H147" s="6">
        <f>ROUND(MIN(100,LOG10(C147+1)*18+(10-D147)*2+IF(OR(E147="Commercial",E147="Informational / Transactional"),12,5)),0)</f>
        <v/>
      </c>
      <c r="I147" s="6">
        <f>IF(H147&gt;=85,"P1",IF(H147&gt;=70,"P2","P3"))</f>
        <v/>
      </c>
      <c r="J147" s="5" t="inlineStr">
        <is>
          <t>https://ahrefs.com/keywords-explorer</t>
        </is>
      </c>
    </row>
    <row r="148">
      <c r="A148" s="2" t="inlineStr">
        <is>
          <t>Helmets &amp; Safety</t>
        </is>
      </c>
      <c r="B148" s="3" t="inlineStr">
        <is>
          <t>intercom helmet</t>
        </is>
      </c>
      <c r="C148" s="4" t="n">
        <v>1100</v>
      </c>
      <c r="D148" s="3" t="n">
        <v>0</v>
      </c>
      <c r="E148" s="5" t="inlineStr">
        <is>
          <t>Commercial</t>
        </is>
      </c>
      <c r="F148" s="5" t="inlineStr">
        <is>
          <t>Brand/category hub</t>
        </is>
      </c>
      <c r="G148" s="5" t="inlineStr">
        <is>
          <t>/gear/helmets/intercom-helmet/</t>
        </is>
      </c>
      <c r="H148" s="6">
        <f>ROUND(MIN(100,LOG10(C148+1)*18+(10-D148)*2+IF(OR(E148="Commercial",E148="Informational / Transactional"),12,5)),0)</f>
        <v/>
      </c>
      <c r="I148" s="6">
        <f>IF(H148&gt;=85,"P1",IF(H148&gt;=70,"P2","P3"))</f>
        <v/>
      </c>
      <c r="J148" s="5" t="inlineStr">
        <is>
          <t>https://ahrefs.com/keywords-explorer</t>
        </is>
      </c>
    </row>
    <row r="149">
      <c r="A149" s="2" t="inlineStr">
        <is>
          <t>Helmets &amp; Safety</t>
        </is>
      </c>
      <c r="B149" s="3" t="inlineStr">
        <is>
          <t>ls2 helmet price</t>
        </is>
      </c>
      <c r="C149" s="4" t="n">
        <v>1100</v>
      </c>
      <c r="D149" s="3" t="n">
        <v>2</v>
      </c>
      <c r="E149" s="5" t="inlineStr">
        <is>
          <t>Commercial</t>
        </is>
      </c>
      <c r="F149" s="5" t="inlineStr">
        <is>
          <t>Brand/model price page</t>
        </is>
      </c>
      <c r="G149" s="5" t="inlineStr">
        <is>
          <t>/gear/helmets/ls2-helmet-price/</t>
        </is>
      </c>
      <c r="H149" s="6">
        <f>ROUND(MIN(100,LOG10(C149+1)*18+(10-D149)*2+IF(OR(E149="Commercial",E149="Informational / Transactional"),12,5)),0)</f>
        <v/>
      </c>
      <c r="I149" s="6">
        <f>IF(H149&gt;=85,"P1",IF(H149&gt;=70,"P2","P3"))</f>
        <v/>
      </c>
      <c r="J149" s="5" t="inlineStr">
        <is>
          <t>https://ahrefs.com/keywords-explorer</t>
        </is>
      </c>
    </row>
    <row r="150">
      <c r="A150" s="2" t="inlineStr">
        <is>
          <t>Helmets &amp; Safety</t>
        </is>
      </c>
      <c r="B150" s="3" t="inlineStr">
        <is>
          <t>shark helmet</t>
        </is>
      </c>
      <c r="C150" s="4" t="n">
        <v>1100</v>
      </c>
      <c r="D150" s="3" t="n">
        <v>1</v>
      </c>
      <c r="E150" s="5" t="inlineStr">
        <is>
          <t>Commercial</t>
        </is>
      </c>
      <c r="F150" s="5" t="inlineStr">
        <is>
          <t>Brand/category hub</t>
        </is>
      </c>
      <c r="G150" s="5" t="inlineStr">
        <is>
          <t>/gear/helmets/shark-helmet/</t>
        </is>
      </c>
      <c r="H150" s="6">
        <f>ROUND(MIN(100,LOG10(C150+1)*18+(10-D150)*2+IF(OR(E150="Commercial",E150="Informational / Transactional"),12,5)),0)</f>
        <v/>
      </c>
      <c r="I150" s="6">
        <f>IF(H150&gt;=85,"P1",IF(H150&gt;=70,"P2","P3"))</f>
        <v/>
      </c>
      <c r="J150" s="5" t="inlineStr">
        <is>
          <t>https://ahrefs.com/keywords-explorer</t>
        </is>
      </c>
    </row>
    <row r="151">
      <c r="A151" s="2" t="inlineStr">
        <is>
          <t>Helmets &amp; Safety</t>
        </is>
      </c>
      <c r="B151" s="3" t="inlineStr">
        <is>
          <t>nomad helmet</t>
        </is>
      </c>
      <c r="C151" s="4" t="n">
        <v>1000</v>
      </c>
      <c r="D151" s="3" t="n">
        <v>0</v>
      </c>
      <c r="E151" s="5" t="inlineStr">
        <is>
          <t>Commercial</t>
        </is>
      </c>
      <c r="F151" s="5" t="inlineStr">
        <is>
          <t>Brand/category hub</t>
        </is>
      </c>
      <c r="G151" s="5" t="inlineStr">
        <is>
          <t>/gear/helmets/nomad-helmet/</t>
        </is>
      </c>
      <c r="H151" s="6">
        <f>ROUND(MIN(100,LOG10(C151+1)*18+(10-D151)*2+IF(OR(E151="Commercial",E151="Informational / Transactional"),12,5)),0)</f>
        <v/>
      </c>
      <c r="I151" s="6">
        <f>IF(H151&gt;=85,"P1",IF(H151&gt;=70,"P2","P3"))</f>
        <v/>
      </c>
      <c r="J151" s="5" t="inlineStr">
        <is>
          <t>https://ahrefs.com/keywords-explorer</t>
        </is>
      </c>
    </row>
    <row r="152">
      <c r="A152" s="2" t="inlineStr">
        <is>
          <t>Helmets &amp; Safety</t>
        </is>
      </c>
      <c r="B152" s="3" t="inlineStr">
        <is>
          <t>sec helmet price</t>
        </is>
      </c>
      <c r="C152" s="4" t="n">
        <v>1000</v>
      </c>
      <c r="D152" s="3" t="n">
        <v>0</v>
      </c>
      <c r="E152" s="5" t="inlineStr">
        <is>
          <t>Commercial</t>
        </is>
      </c>
      <c r="F152" s="5" t="inlineStr">
        <is>
          <t>Brand/model price page</t>
        </is>
      </c>
      <c r="G152" s="5" t="inlineStr">
        <is>
          <t>/gear/helmets/sec-helmet-price/</t>
        </is>
      </c>
      <c r="H152" s="6">
        <f>ROUND(MIN(100,LOG10(C152+1)*18+(10-D152)*2+IF(OR(E152="Commercial",E152="Informational / Transactional"),12,5)),0)</f>
        <v/>
      </c>
      <c r="I152" s="6">
        <f>IF(H152&gt;=85,"P1",IF(H152&gt;=70,"P2","P3"))</f>
        <v/>
      </c>
      <c r="J152" s="5" t="inlineStr">
        <is>
          <t>https://ahrefs.com/keywords-explorer</t>
        </is>
      </c>
    </row>
    <row r="153">
      <c r="A153" s="2" t="inlineStr">
        <is>
          <t>Helmets &amp; Safety</t>
        </is>
      </c>
      <c r="B153" s="3" t="inlineStr">
        <is>
          <t>zebra helmet price</t>
        </is>
      </c>
      <c r="C153" s="4" t="n">
        <v>900</v>
      </c>
      <c r="D153" s="3" t="n">
        <v>0</v>
      </c>
      <c r="E153" s="5" t="inlineStr">
        <is>
          <t>Commercial</t>
        </is>
      </c>
      <c r="F153" s="5" t="inlineStr">
        <is>
          <t>Brand/model price page</t>
        </is>
      </c>
      <c r="G153" s="5" t="inlineStr">
        <is>
          <t>/gear/helmets/zebra-helmet-price/</t>
        </is>
      </c>
      <c r="H153" s="6">
        <f>ROUND(MIN(100,LOG10(C153+1)*18+(10-D153)*2+IF(OR(E153="Commercial",E153="Informational / Transactional"),12,5)),0)</f>
        <v/>
      </c>
      <c r="I153" s="6">
        <f>IF(H153&gt;=85,"P1",IF(H153&gt;=70,"P2","P3"))</f>
        <v/>
      </c>
      <c r="J153" s="5" t="inlineStr">
        <is>
          <t>https://ahrefs.com/keywords-explorer</t>
        </is>
      </c>
    </row>
    <row r="154">
      <c r="A154" s="2" t="inlineStr">
        <is>
          <t>Helmets &amp; Safety</t>
        </is>
      </c>
      <c r="B154" s="3" t="inlineStr">
        <is>
          <t>airoh helmet</t>
        </is>
      </c>
      <c r="C154" s="4" t="n">
        <v>800</v>
      </c>
      <c r="D154" s="3" t="n">
        <v>1</v>
      </c>
      <c r="E154" s="5" t="inlineStr">
        <is>
          <t>Commercial</t>
        </is>
      </c>
      <c r="F154" s="5" t="inlineStr">
        <is>
          <t>Brand/category hub</t>
        </is>
      </c>
      <c r="G154" s="5" t="inlineStr">
        <is>
          <t>/gear/helmets/airoh-helmet/</t>
        </is>
      </c>
      <c r="H154" s="6">
        <f>ROUND(MIN(100,LOG10(C154+1)*18+(10-D154)*2+IF(OR(E154="Commercial",E154="Informational / Transactional"),12,5)),0)</f>
        <v/>
      </c>
      <c r="I154" s="6">
        <f>IF(H154&gt;=85,"P1",IF(H154&gt;=70,"P2","P3"))</f>
        <v/>
      </c>
      <c r="J154" s="5" t="inlineStr">
        <is>
          <t>https://ahrefs.com/keywords-explorer</t>
        </is>
      </c>
    </row>
    <row r="155">
      <c r="A155" s="2" t="inlineStr">
        <is>
          <t>Helmets &amp; Safety</t>
        </is>
      </c>
      <c r="B155" s="3" t="inlineStr">
        <is>
          <t>helmet visor</t>
        </is>
      </c>
      <c r="C155" s="4" t="n">
        <v>800</v>
      </c>
      <c r="D155" s="3" t="n">
        <v>0</v>
      </c>
      <c r="E155" s="5" t="inlineStr">
        <is>
          <t>Commercial</t>
        </is>
      </c>
      <c r="F155" s="5" t="inlineStr">
        <is>
          <t>Brand/category hub</t>
        </is>
      </c>
      <c r="G155" s="5" t="inlineStr">
        <is>
          <t>/gear/helmets/helmet-visor/</t>
        </is>
      </c>
      <c r="H155" s="6">
        <f>ROUND(MIN(100,LOG10(C155+1)*18+(10-D155)*2+IF(OR(E155="Commercial",E155="Informational / Transactional"),12,5)),0)</f>
        <v/>
      </c>
      <c r="I155" s="6">
        <f>IF(H155&gt;=85,"P1",IF(H155&gt;=70,"P2","P3"))</f>
        <v/>
      </c>
      <c r="J155" s="5" t="inlineStr">
        <is>
          <t>https://ahrefs.com/keywords-explorer</t>
        </is>
      </c>
    </row>
    <row r="156">
      <c r="A156" s="2" t="inlineStr">
        <is>
          <t>Helmets &amp; Safety</t>
        </is>
      </c>
      <c r="B156" s="3" t="inlineStr">
        <is>
          <t>ryzen helmet</t>
        </is>
      </c>
      <c r="C156" s="4" t="n">
        <v>700</v>
      </c>
      <c r="D156" s="3" t="n">
        <v>0</v>
      </c>
      <c r="E156" s="5" t="inlineStr">
        <is>
          <t>Commercial</t>
        </is>
      </c>
      <c r="F156" s="5" t="inlineStr">
        <is>
          <t>Brand/category hub</t>
        </is>
      </c>
      <c r="G156" s="5" t="inlineStr">
        <is>
          <t>/gear/helmets/ryzen-helmet/</t>
        </is>
      </c>
      <c r="H156" s="6">
        <f>ROUND(MIN(100,LOG10(C156+1)*18+(10-D156)*2+IF(OR(E156="Commercial",E156="Informational / Transactional"),12,5)),0)</f>
        <v/>
      </c>
      <c r="I156" s="6">
        <f>IF(H156&gt;=85,"P1",IF(H156&gt;=70,"P2","P3"))</f>
        <v/>
      </c>
      <c r="J156" s="5" t="inlineStr">
        <is>
          <t>https://ahrefs.com/keywords-explorer</t>
        </is>
      </c>
    </row>
    <row r="157">
      <c r="A157" s="2" t="inlineStr">
        <is>
          <t>Helmets &amp; Safety</t>
        </is>
      </c>
      <c r="B157" s="3" t="inlineStr">
        <is>
          <t>spyder half face helmet</t>
        </is>
      </c>
      <c r="C157" s="4" t="n">
        <v>700</v>
      </c>
      <c r="D157" s="3" t="n">
        <v>0</v>
      </c>
      <c r="E157" s="5" t="inlineStr">
        <is>
          <t>Commercial</t>
        </is>
      </c>
      <c r="F157" s="5" t="inlineStr">
        <is>
          <t>Brand/category hub</t>
        </is>
      </c>
      <c r="G157" s="5" t="inlineStr">
        <is>
          <t>/gear/helmets/spyder-half-face-helmet/</t>
        </is>
      </c>
      <c r="H157" s="6">
        <f>ROUND(MIN(100,LOG10(C157+1)*18+(10-D157)*2+IF(OR(E157="Commercial",E157="Informational / Transactional"),12,5)),0)</f>
        <v/>
      </c>
      <c r="I157" s="6">
        <f>IF(H157&gt;=85,"P1",IF(H157&gt;=70,"P2","P3"))</f>
        <v/>
      </c>
      <c r="J157" s="5" t="inlineStr">
        <is>
          <t>https://ahrefs.com/keywords-explorer</t>
        </is>
      </c>
    </row>
    <row r="158">
      <c r="A158" s="2" t="inlineStr">
        <is>
          <t>Helmets &amp; Safety</t>
        </is>
      </c>
      <c r="B158" s="3" t="inlineStr">
        <is>
          <t>evo helmet price philippines</t>
        </is>
      </c>
      <c r="C158" s="4" t="n">
        <v>600</v>
      </c>
      <c r="D158" s="3" t="n">
        <v>0</v>
      </c>
      <c r="E158" s="5" t="inlineStr">
        <is>
          <t>Commercial</t>
        </is>
      </c>
      <c r="F158" s="5" t="inlineStr">
        <is>
          <t>Brand/model price page</t>
        </is>
      </c>
      <c r="G158" s="5" t="inlineStr">
        <is>
          <t>/gear/helmets/evo-helmet-price-philippines/</t>
        </is>
      </c>
      <c r="H158" s="6">
        <f>ROUND(MIN(100,LOG10(C158+1)*18+(10-D158)*2+IF(OR(E158="Commercial",E158="Informational / Transactional"),12,5)),0)</f>
        <v/>
      </c>
      <c r="I158" s="6">
        <f>IF(H158&gt;=85,"P1",IF(H158&gt;=70,"P2","P3"))</f>
        <v/>
      </c>
      <c r="J158" s="5" t="inlineStr">
        <is>
          <t>https://ahrefs.com/keywords-explorer</t>
        </is>
      </c>
    </row>
    <row r="159">
      <c r="A159" s="2" t="inlineStr">
        <is>
          <t>Helmets &amp; Safety</t>
        </is>
      </c>
      <c r="B159" s="3" t="inlineStr">
        <is>
          <t>helmet price</t>
        </is>
      </c>
      <c r="C159" s="4" t="n">
        <v>600</v>
      </c>
      <c r="D159" s="3" t="n">
        <v>0</v>
      </c>
      <c r="E159" s="5" t="inlineStr">
        <is>
          <t>Commercial</t>
        </is>
      </c>
      <c r="F159" s="5" t="inlineStr">
        <is>
          <t>Brand/model price page</t>
        </is>
      </c>
      <c r="G159" s="5" t="inlineStr">
        <is>
          <t>/gear/helmets/helmet-price/</t>
        </is>
      </c>
      <c r="H159" s="6">
        <f>ROUND(MIN(100,LOG10(C159+1)*18+(10-D159)*2+IF(OR(E159="Commercial",E159="Informational / Transactional"),12,5)),0)</f>
        <v/>
      </c>
      <c r="I159" s="6">
        <f>IF(H159&gt;=85,"P1",IF(H159&gt;=70,"P2","P3"))</f>
        <v/>
      </c>
      <c r="J159" s="5" t="inlineStr">
        <is>
          <t>https://ahrefs.com/keywords-explorer</t>
        </is>
      </c>
    </row>
    <row r="160">
      <c r="A160" s="2" t="inlineStr">
        <is>
          <t>Helmets &amp; Safety</t>
        </is>
      </c>
      <c r="B160" s="3" t="inlineStr">
        <is>
          <t>nolan helmet</t>
        </is>
      </c>
      <c r="C160" s="4" t="n">
        <v>600</v>
      </c>
      <c r="D160" s="3" t="n">
        <v>0</v>
      </c>
      <c r="E160" s="5" t="inlineStr">
        <is>
          <t>Commercial</t>
        </is>
      </c>
      <c r="F160" s="5" t="inlineStr">
        <is>
          <t>Brand/category hub</t>
        </is>
      </c>
      <c r="G160" s="5" t="inlineStr">
        <is>
          <t>/gear/helmets/nolan-helmet/</t>
        </is>
      </c>
      <c r="H160" s="6">
        <f>ROUND(MIN(100,LOG10(C160+1)*18+(10-D160)*2+IF(OR(E160="Commercial",E160="Informational / Transactional"),12,5)),0)</f>
        <v/>
      </c>
      <c r="I160" s="6">
        <f>IF(H160&gt;=85,"P1",IF(H160&gt;=70,"P2","P3"))</f>
        <v/>
      </c>
      <c r="J160" s="5" t="inlineStr">
        <is>
          <t>https://ahrefs.com/keywords-explorer</t>
        </is>
      </c>
    </row>
    <row r="161">
      <c r="A161" s="2" t="inlineStr">
        <is>
          <t>Helmets &amp; Safety</t>
        </is>
      </c>
      <c r="B161" s="3" t="inlineStr">
        <is>
          <t>sec modular helmet</t>
        </is>
      </c>
      <c r="C161" s="4" t="n">
        <v>600</v>
      </c>
      <c r="D161" s="3" t="n">
        <v>0</v>
      </c>
      <c r="E161" s="5" t="inlineStr">
        <is>
          <t>Commercial</t>
        </is>
      </c>
      <c r="F161" s="5" t="inlineStr">
        <is>
          <t>Brand/category hub</t>
        </is>
      </c>
      <c r="G161" s="5" t="inlineStr">
        <is>
          <t>/gear/helmets/sec-modular-helmet/</t>
        </is>
      </c>
      <c r="H161" s="6">
        <f>ROUND(MIN(100,LOG10(C161+1)*18+(10-D161)*2+IF(OR(E161="Commercial",E161="Informational / Transactional"),12,5)),0)</f>
        <v/>
      </c>
      <c r="I161" s="6">
        <f>IF(H161&gt;=85,"P1",IF(H161&gt;=70,"P2","P3"))</f>
        <v/>
      </c>
      <c r="J161" s="5" t="inlineStr">
        <is>
          <t>https://ahrefs.com/keywords-explorer</t>
        </is>
      </c>
    </row>
    <row r="162">
      <c r="A162" s="2" t="inlineStr">
        <is>
          <t>Helmets &amp; Safety</t>
        </is>
      </c>
      <c r="B162" s="3" t="inlineStr">
        <is>
          <t>axor helmet</t>
        </is>
      </c>
      <c r="C162" s="4" t="n">
        <v>500</v>
      </c>
      <c r="D162" s="3" t="n">
        <v>0</v>
      </c>
      <c r="E162" s="5" t="inlineStr">
        <is>
          <t>Commercial</t>
        </is>
      </c>
      <c r="F162" s="5" t="inlineStr">
        <is>
          <t>Brand/category hub</t>
        </is>
      </c>
      <c r="G162" s="5" t="inlineStr">
        <is>
          <t>/gear/helmets/axor-helmet/</t>
        </is>
      </c>
      <c r="H162" s="6">
        <f>ROUND(MIN(100,LOG10(C162+1)*18+(10-D162)*2+IF(OR(E162="Commercial",E162="Informational / Transactional"),12,5)),0)</f>
        <v/>
      </c>
      <c r="I162" s="6">
        <f>IF(H162&gt;=85,"P1",IF(H162&gt;=70,"P2","P3"))</f>
        <v/>
      </c>
      <c r="J162" s="5" t="inlineStr">
        <is>
          <t>https://ahrefs.com/keywords-explorer</t>
        </is>
      </c>
    </row>
    <row r="163">
      <c r="A163" s="2" t="inlineStr">
        <is>
          <t>Helmets &amp; Safety</t>
        </is>
      </c>
      <c r="B163" s="3" t="inlineStr">
        <is>
          <t>bilmola helmet</t>
        </is>
      </c>
      <c r="C163" s="4" t="n">
        <v>500</v>
      </c>
      <c r="D163" s="3" t="n">
        <v>0</v>
      </c>
      <c r="E163" s="5" t="inlineStr">
        <is>
          <t>Commercial</t>
        </is>
      </c>
      <c r="F163" s="5" t="inlineStr">
        <is>
          <t>Brand/category hub</t>
        </is>
      </c>
      <c r="G163" s="5" t="inlineStr">
        <is>
          <t>/gear/helmets/bilmola-helmet/</t>
        </is>
      </c>
      <c r="H163" s="6">
        <f>ROUND(MIN(100,LOG10(C163+1)*18+(10-D163)*2+IF(OR(E163="Commercial",E163="Informational / Transactional"),12,5)),0)</f>
        <v/>
      </c>
      <c r="I163" s="6">
        <f>IF(H163&gt;=85,"P1",IF(H163&gt;=70,"P2","P3"))</f>
        <v/>
      </c>
      <c r="J163" s="5" t="inlineStr">
        <is>
          <t>https://ahrefs.com/keywords-explorer</t>
        </is>
      </c>
    </row>
    <row r="164">
      <c r="A164" s="2" t="inlineStr">
        <is>
          <t>Helmets &amp; Safety</t>
        </is>
      </c>
      <c r="B164" s="3" t="inlineStr">
        <is>
          <t>giro helmet</t>
        </is>
      </c>
      <c r="C164" s="4" t="n">
        <v>500</v>
      </c>
      <c r="D164" s="3" t="n">
        <v>6</v>
      </c>
      <c r="E164" s="5" t="inlineStr">
        <is>
          <t>Commercial</t>
        </is>
      </c>
      <c r="F164" s="5" t="inlineStr">
        <is>
          <t>Brand/category hub</t>
        </is>
      </c>
      <c r="G164" s="5" t="inlineStr">
        <is>
          <t>/gear/helmets/giro-helmet/</t>
        </is>
      </c>
      <c r="H164" s="6">
        <f>ROUND(MIN(100,LOG10(C164+1)*18+(10-D164)*2+IF(OR(E164="Commercial",E164="Informational / Transactional"),12,5)),0)</f>
        <v/>
      </c>
      <c r="I164" s="6">
        <f>IF(H164&gt;=85,"P1",IF(H164&gt;=70,"P2","P3"))</f>
        <v/>
      </c>
      <c r="J164" s="5" t="inlineStr">
        <is>
          <t>https://ahrefs.com/keywords-explorer</t>
        </is>
      </c>
    </row>
    <row r="165">
      <c r="A165" s="2" t="inlineStr">
        <is>
          <t>Helmets &amp; Safety</t>
        </is>
      </c>
      <c r="B165" s="3" t="inlineStr">
        <is>
          <t>helmet brand</t>
        </is>
      </c>
      <c r="C165" s="4" t="n">
        <v>500</v>
      </c>
      <c r="D165" s="3" t="n">
        <v>0</v>
      </c>
      <c r="E165" s="5" t="inlineStr">
        <is>
          <t>Commercial</t>
        </is>
      </c>
      <c r="F165" s="5" t="inlineStr">
        <is>
          <t>Buying guide / brand hub</t>
        </is>
      </c>
      <c r="G165" s="5" t="inlineStr">
        <is>
          <t>/gear/helmets/helmet-brand/</t>
        </is>
      </c>
      <c r="H165" s="6">
        <f>ROUND(MIN(100,LOG10(C165+1)*18+(10-D165)*2+IF(OR(E165="Commercial",E165="Informational / Transactional"),12,5)),0)</f>
        <v/>
      </c>
      <c r="I165" s="6">
        <f>IF(H165&gt;=85,"P1",IF(H165&gt;=70,"P2","P3"))</f>
        <v/>
      </c>
      <c r="J165" s="5" t="inlineStr">
        <is>
          <t>https://ahrefs.com/keywords-explorer</t>
        </is>
      </c>
    </row>
    <row r="166">
      <c r="A166" s="2" t="inlineStr">
        <is>
          <t>Helmets &amp; Safety</t>
        </is>
      </c>
      <c r="B166" s="3" t="inlineStr">
        <is>
          <t>helmet parts</t>
        </is>
      </c>
      <c r="C166" s="4" t="n">
        <v>500</v>
      </c>
      <c r="D166" s="3" t="n">
        <v>0</v>
      </c>
      <c r="E166" s="5" t="inlineStr">
        <is>
          <t>Commercial</t>
        </is>
      </c>
      <c r="F166" s="5" t="inlineStr">
        <is>
          <t>Brand/category hub</t>
        </is>
      </c>
      <c r="G166" s="5" t="inlineStr">
        <is>
          <t>/gear/helmets/helmet-parts/</t>
        </is>
      </c>
      <c r="H166" s="6">
        <f>ROUND(MIN(100,LOG10(C166+1)*18+(10-D166)*2+IF(OR(E166="Commercial",E166="Informational / Transactional"),12,5)),0)</f>
        <v/>
      </c>
      <c r="I166" s="6">
        <f>IF(H166&gt;=85,"P1",IF(H166&gt;=70,"P2","P3"))</f>
        <v/>
      </c>
      <c r="J166" s="5" t="inlineStr">
        <is>
          <t>https://ahrefs.com/keywords-explorer</t>
        </is>
      </c>
    </row>
    <row r="167">
      <c r="A167" s="2" t="inlineStr">
        <is>
          <t>Helmets &amp; Safety</t>
        </is>
      </c>
      <c r="B167" s="3" t="inlineStr">
        <is>
          <t>hjc helmet philippines</t>
        </is>
      </c>
      <c r="C167" s="4" t="n">
        <v>500</v>
      </c>
      <c r="D167" s="3" t="n">
        <v>0</v>
      </c>
      <c r="E167" s="5" t="inlineStr">
        <is>
          <t>Commercial</t>
        </is>
      </c>
      <c r="F167" s="5" t="inlineStr">
        <is>
          <t>Brand/category hub</t>
        </is>
      </c>
      <c r="G167" s="5" t="inlineStr">
        <is>
          <t>/gear/helmets/hjc-helmet-philippines/</t>
        </is>
      </c>
      <c r="H167" s="6">
        <f>ROUND(MIN(100,LOG10(C167+1)*18+(10-D167)*2+IF(OR(E167="Commercial",E167="Informational / Transactional"),12,5)),0)</f>
        <v/>
      </c>
      <c r="I167" s="6">
        <f>IF(H167&gt;=85,"P1",IF(H167&gt;=70,"P2","P3"))</f>
        <v/>
      </c>
      <c r="J167" s="5" t="inlineStr">
        <is>
          <t>https://ahrefs.com/keywords-explorer</t>
        </is>
      </c>
    </row>
    <row r="168">
      <c r="A168" s="2" t="inlineStr">
        <is>
          <t>Helmets &amp; Safety</t>
        </is>
      </c>
      <c r="B168" s="3" t="inlineStr">
        <is>
          <t>smk helmet</t>
        </is>
      </c>
      <c r="C168" s="4" t="n">
        <v>500</v>
      </c>
      <c r="D168" s="3" t="n">
        <v>0</v>
      </c>
      <c r="E168" s="5" t="inlineStr">
        <is>
          <t>Commercial</t>
        </is>
      </c>
      <c r="F168" s="5" t="inlineStr">
        <is>
          <t>Brand/category hub</t>
        </is>
      </c>
      <c r="G168" s="5" t="inlineStr">
        <is>
          <t>/gear/helmets/smk-helmet/</t>
        </is>
      </c>
      <c r="H168" s="6">
        <f>ROUND(MIN(100,LOG10(C168+1)*18+(10-D168)*2+IF(OR(E168="Commercial",E168="Informational / Transactional"),12,5)),0)</f>
        <v/>
      </c>
      <c r="I168" s="6">
        <f>IF(H168&gt;=85,"P1",IF(H168&gt;=70,"P2","P3"))</f>
        <v/>
      </c>
      <c r="J168" s="5" t="inlineStr">
        <is>
          <t>https://ahrefs.com/keywords-explorer</t>
        </is>
      </c>
    </row>
    <row r="169">
      <c r="A169" s="2" t="inlineStr">
        <is>
          <t>Helmets &amp; Safety</t>
        </is>
      </c>
      <c r="B169" s="3" t="inlineStr">
        <is>
          <t>spider helmet</t>
        </is>
      </c>
      <c r="C169" s="4" t="n">
        <v>500</v>
      </c>
      <c r="D169" s="3" t="n">
        <v>1</v>
      </c>
      <c r="E169" s="5" t="inlineStr">
        <is>
          <t>Commercial</t>
        </is>
      </c>
      <c r="F169" s="5" t="inlineStr">
        <is>
          <t>Brand/category hub</t>
        </is>
      </c>
      <c r="G169" s="5" t="inlineStr">
        <is>
          <t>/gear/helmets/spider-helmet/</t>
        </is>
      </c>
      <c r="H169" s="6">
        <f>ROUND(MIN(100,LOG10(C169+1)*18+(10-D169)*2+IF(OR(E169="Commercial",E169="Informational / Transactional"),12,5)),0)</f>
        <v/>
      </c>
      <c r="I169" s="6">
        <f>IF(H169&gt;=85,"P1",IF(H169&gt;=70,"P2","P3"))</f>
        <v/>
      </c>
      <c r="J169" s="5" t="inlineStr">
        <is>
          <t>https://ahrefs.com/keywords-explorer</t>
        </is>
      </c>
    </row>
    <row r="170">
      <c r="A170" s="2" t="inlineStr">
        <is>
          <t>Helmets &amp; Safety</t>
        </is>
      </c>
      <c r="B170" s="3" t="inlineStr">
        <is>
          <t>types of helmet</t>
        </is>
      </c>
      <c r="C170" s="4" t="n">
        <v>500</v>
      </c>
      <c r="D170" s="3" t="n">
        <v>1</v>
      </c>
      <c r="E170" s="5" t="inlineStr">
        <is>
          <t>Commercial</t>
        </is>
      </c>
      <c r="F170" s="5" t="inlineStr">
        <is>
          <t>Brand/category hub</t>
        </is>
      </c>
      <c r="G170" s="5" t="inlineStr">
        <is>
          <t>/gear/helmets/types-of-helmet/</t>
        </is>
      </c>
      <c r="H170" s="6">
        <f>ROUND(MIN(100,LOG10(C170+1)*18+(10-D170)*2+IF(OR(E170="Commercial",E170="Informational / Transactional"),12,5)),0)</f>
        <v/>
      </c>
      <c r="I170" s="6">
        <f>IF(H170&gt;=85,"P1",IF(H170&gt;=70,"P2","P3"))</f>
        <v/>
      </c>
      <c r="J170" s="5" t="inlineStr">
        <is>
          <t>https://ahrefs.com/keywords-explorer</t>
        </is>
      </c>
    </row>
    <row r="171">
      <c r="A171" s="2" t="inlineStr">
        <is>
          <t>Helmets &amp; Safety</t>
        </is>
      </c>
      <c r="B171" s="3" t="inlineStr">
        <is>
          <t>agv helmet price philippines</t>
        </is>
      </c>
      <c r="C171" s="4" t="n">
        <v>450</v>
      </c>
      <c r="D171" s="3" t="n">
        <v>0</v>
      </c>
      <c r="E171" s="5" t="inlineStr">
        <is>
          <t>Commercial</t>
        </is>
      </c>
      <c r="F171" s="5" t="inlineStr">
        <is>
          <t>Brand/model price page</t>
        </is>
      </c>
      <c r="G171" s="5" t="inlineStr">
        <is>
          <t>/gear/helmets/agv-helmet-price-philippines/</t>
        </is>
      </c>
      <c r="H171" s="6">
        <f>ROUND(MIN(100,LOG10(C171+1)*18+(10-D171)*2+IF(OR(E171="Commercial",E171="Informational / Transactional"),12,5)),0)</f>
        <v/>
      </c>
      <c r="I171" s="6">
        <f>IF(H171&gt;=85,"P1",IF(H171&gt;=70,"P2","P3"))</f>
        <v/>
      </c>
      <c r="J171" s="5" t="inlineStr">
        <is>
          <t>https://ahrefs.com/keywords-explorer</t>
        </is>
      </c>
    </row>
    <row r="172">
      <c r="A172" s="2" t="inlineStr">
        <is>
          <t>Helmets &amp; Safety</t>
        </is>
      </c>
      <c r="B172" s="3" t="inlineStr">
        <is>
          <t>evo half face helmet</t>
        </is>
      </c>
      <c r="C172" s="4" t="n">
        <v>450</v>
      </c>
      <c r="D172" s="3" t="n">
        <v>0</v>
      </c>
      <c r="E172" s="5" t="inlineStr">
        <is>
          <t>Commercial</t>
        </is>
      </c>
      <c r="F172" s="5" t="inlineStr">
        <is>
          <t>Brand/category hub</t>
        </is>
      </c>
      <c r="G172" s="5" t="inlineStr">
        <is>
          <t>/gear/helmets/evo-half-face-helmet/</t>
        </is>
      </c>
      <c r="H172" s="6">
        <f>ROUND(MIN(100,LOG10(C172+1)*18+(10-D172)*2+IF(OR(E172="Commercial",E172="Informational / Transactional"),12,5)),0)</f>
        <v/>
      </c>
      <c r="I172" s="6">
        <f>IF(H172&gt;=85,"P1",IF(H172&gt;=70,"P2","P3"))</f>
        <v/>
      </c>
      <c r="J172" s="5" t="inlineStr">
        <is>
          <t>https://ahrefs.com/keywords-explorer</t>
        </is>
      </c>
    </row>
    <row r="173">
      <c r="A173" s="2" t="inlineStr">
        <is>
          <t>Helmets &amp; Safety</t>
        </is>
      </c>
      <c r="B173" s="3" t="inlineStr">
        <is>
          <t>retro helmet</t>
        </is>
      </c>
      <c r="C173" s="4" t="n">
        <v>450</v>
      </c>
      <c r="D173" s="3" t="n">
        <v>0</v>
      </c>
      <c r="E173" s="5" t="inlineStr">
        <is>
          <t>Commercial</t>
        </is>
      </c>
      <c r="F173" s="5" t="inlineStr">
        <is>
          <t>Brand/category hub</t>
        </is>
      </c>
      <c r="G173" s="5" t="inlineStr">
        <is>
          <t>/gear/helmets/retro-helmet/</t>
        </is>
      </c>
      <c r="H173" s="6">
        <f>ROUND(MIN(100,LOG10(C173+1)*18+(10-D173)*2+IF(OR(E173="Commercial",E173="Informational / Transactional"),12,5)),0)</f>
        <v/>
      </c>
      <c r="I173" s="6">
        <f>IF(H173&gt;=85,"P1",IF(H173&gt;=70,"P2","P3"))</f>
        <v/>
      </c>
      <c r="J173" s="5" t="inlineStr">
        <is>
          <t>https://ahrefs.com/keywords-explorer</t>
        </is>
      </c>
    </row>
    <row r="174">
      <c r="A174" s="2" t="inlineStr">
        <is>
          <t>Helmets &amp; Safety</t>
        </is>
      </c>
      <c r="B174" s="3" t="inlineStr">
        <is>
          <t>sec half face helmet</t>
        </is>
      </c>
      <c r="C174" s="4" t="n">
        <v>450</v>
      </c>
      <c r="D174" s="3" t="n">
        <v>0</v>
      </c>
      <c r="E174" s="5" t="inlineStr">
        <is>
          <t>Commercial</t>
        </is>
      </c>
      <c r="F174" s="5" t="inlineStr">
        <is>
          <t>Brand/category hub</t>
        </is>
      </c>
      <c r="G174" s="5" t="inlineStr">
        <is>
          <t>/gear/helmets/sec-half-face-helmet/</t>
        </is>
      </c>
      <c r="H174" s="6">
        <f>ROUND(MIN(100,LOG10(C174+1)*18+(10-D174)*2+IF(OR(E174="Commercial",E174="Informational / Transactional"),12,5)),0)</f>
        <v/>
      </c>
      <c r="I174" s="6">
        <f>IF(H174&gt;=85,"P1",IF(H174&gt;=70,"P2","P3"))</f>
        <v/>
      </c>
      <c r="J174" s="5" t="inlineStr">
        <is>
          <t>https://ahrefs.com/keywords-explorer</t>
        </is>
      </c>
    </row>
    <row r="175">
      <c r="A175" s="2" t="inlineStr">
        <is>
          <t>Helmets &amp; Safety</t>
        </is>
      </c>
      <c r="B175" s="3" t="inlineStr">
        <is>
          <t>alpinestars helmet</t>
        </is>
      </c>
      <c r="C175" s="4" t="n">
        <v>400</v>
      </c>
      <c r="D175" s="3" t="n">
        <v>0</v>
      </c>
      <c r="E175" s="5" t="inlineStr">
        <is>
          <t>Commercial</t>
        </is>
      </c>
      <c r="F175" s="5" t="inlineStr">
        <is>
          <t>Brand/category hub</t>
        </is>
      </c>
      <c r="G175" s="5" t="inlineStr">
        <is>
          <t>/gear/helmets/alpinestars-helmet/</t>
        </is>
      </c>
      <c r="H175" s="6">
        <f>ROUND(MIN(100,LOG10(C175+1)*18+(10-D175)*2+IF(OR(E175="Commercial",E175="Informational / Transactional"),12,5)),0)</f>
        <v/>
      </c>
      <c r="I175" s="6">
        <f>IF(H175&gt;=85,"P1",IF(H175&gt;=70,"P2","P3"))</f>
        <v/>
      </c>
      <c r="J175" s="5" t="inlineStr">
        <is>
          <t>https://ahrefs.com/keywords-explorer</t>
        </is>
      </c>
    </row>
    <row r="176">
      <c r="A176" s="2" t="inlineStr">
        <is>
          <t>Helmets &amp; Safety</t>
        </is>
      </c>
      <c r="B176" s="3" t="inlineStr">
        <is>
          <t>helmet motorcycle</t>
        </is>
      </c>
      <c r="C176" s="4" t="n">
        <v>400</v>
      </c>
      <c r="D176" s="3" t="n">
        <v>0</v>
      </c>
      <c r="E176" s="5" t="inlineStr">
        <is>
          <t>Commercial</t>
        </is>
      </c>
      <c r="F176" s="5" t="inlineStr">
        <is>
          <t>Brand/category hub</t>
        </is>
      </c>
      <c r="G176" s="5" t="inlineStr">
        <is>
          <t>/gear/helmets/helmet-motorcycle/</t>
        </is>
      </c>
      <c r="H176" s="6">
        <f>ROUND(MIN(100,LOG10(C176+1)*18+(10-D176)*2+IF(OR(E176="Commercial",E176="Informational / Transactional"),12,5)),0)</f>
        <v/>
      </c>
      <c r="I176" s="6">
        <f>IF(H176&gt;=85,"P1",IF(H176&gt;=70,"P2","P3"))</f>
        <v/>
      </c>
      <c r="J176" s="5" t="inlineStr">
        <is>
          <t>https://ahrefs.com/keywords-explorer</t>
        </is>
      </c>
    </row>
    <row r="177">
      <c r="A177" s="2" t="inlineStr">
        <is>
          <t>Helmets &amp; Safety</t>
        </is>
      </c>
      <c r="B177" s="3" t="inlineStr">
        <is>
          <t>ls2 modular helmet</t>
        </is>
      </c>
      <c r="C177" s="4" t="n">
        <v>400</v>
      </c>
      <c r="D177" s="3" t="n">
        <v>0</v>
      </c>
      <c r="E177" s="5" t="inlineStr">
        <is>
          <t>Commercial</t>
        </is>
      </c>
      <c r="F177" s="5" t="inlineStr">
        <is>
          <t>Brand/category hub</t>
        </is>
      </c>
      <c r="G177" s="5" t="inlineStr">
        <is>
          <t>/gear/helmets/ls2-modular-helmet/</t>
        </is>
      </c>
      <c r="H177" s="6">
        <f>ROUND(MIN(100,LOG10(C177+1)*18+(10-D177)*2+IF(OR(E177="Commercial",E177="Informational / Transactional"),12,5)),0)</f>
        <v/>
      </c>
      <c r="I177" s="6">
        <f>IF(H177&gt;=85,"P1",IF(H177&gt;=70,"P2","P3"))</f>
        <v/>
      </c>
      <c r="J177" s="5" t="inlineStr">
        <is>
          <t>https://ahrefs.com/keywords-explorer</t>
        </is>
      </c>
    </row>
    <row r="178">
      <c r="A178" s="2" t="inlineStr">
        <is>
          <t>Helmets &amp; Safety</t>
        </is>
      </c>
      <c r="B178" s="3" t="inlineStr">
        <is>
          <t>neo helmet</t>
        </is>
      </c>
      <c r="C178" s="4" t="n">
        <v>400</v>
      </c>
      <c r="D178" s="3" t="n">
        <v>0</v>
      </c>
      <c r="E178" s="5" t="inlineStr">
        <is>
          <t>Commercial</t>
        </is>
      </c>
      <c r="F178" s="5" t="inlineStr">
        <is>
          <t>Brand/category hub</t>
        </is>
      </c>
      <c r="G178" s="5" t="inlineStr">
        <is>
          <t>/gear/helmets/neo-helmet/</t>
        </is>
      </c>
      <c r="H178" s="6">
        <f>ROUND(MIN(100,LOG10(C178+1)*18+(10-D178)*2+IF(OR(E178="Commercial",E178="Informational / Transactional"),12,5)),0)</f>
        <v/>
      </c>
      <c r="I178" s="6">
        <f>IF(H178&gt;=85,"P1",IF(H178&gt;=70,"P2","P3"))</f>
        <v/>
      </c>
      <c r="J178" s="5" t="inlineStr">
        <is>
          <t>https://ahrefs.com/keywords-explorer</t>
        </is>
      </c>
    </row>
    <row r="179">
      <c r="A179" s="2" t="inlineStr">
        <is>
          <t>Helmets &amp; Safety</t>
        </is>
      </c>
      <c r="B179" s="3" t="inlineStr">
        <is>
          <t>ruroc helmet</t>
        </is>
      </c>
      <c r="C179" s="4" t="n">
        <v>400</v>
      </c>
      <c r="D179" s="3" t="n">
        <v>0</v>
      </c>
      <c r="E179" s="5" t="inlineStr">
        <is>
          <t>Commercial</t>
        </is>
      </c>
      <c r="F179" s="5" t="inlineStr">
        <is>
          <t>Brand/category hub</t>
        </is>
      </c>
      <c r="G179" s="5" t="inlineStr">
        <is>
          <t>/gear/helmets/ruroc-helmet/</t>
        </is>
      </c>
      <c r="H179" s="6">
        <f>ROUND(MIN(100,LOG10(C179+1)*18+(10-D179)*2+IF(OR(E179="Commercial",E179="Informational / Transactional"),12,5)),0)</f>
        <v/>
      </c>
      <c r="I179" s="6">
        <f>IF(H179&gt;=85,"P1",IF(H179&gt;=70,"P2","P3"))</f>
        <v/>
      </c>
      <c r="J179" s="5" t="inlineStr">
        <is>
          <t>https://ahrefs.com/keywords-explorer</t>
        </is>
      </c>
    </row>
    <row r="180">
      <c r="A180" s="2" t="inlineStr">
        <is>
          <t>Helmets &amp; Safety</t>
        </is>
      </c>
      <c r="B180" s="3" t="inlineStr">
        <is>
          <t>spyder modular helmet</t>
        </is>
      </c>
      <c r="C180" s="4" t="n">
        <v>400</v>
      </c>
      <c r="D180" s="3" t="n">
        <v>0</v>
      </c>
      <c r="E180" s="5" t="inlineStr">
        <is>
          <t>Commercial</t>
        </is>
      </c>
      <c r="F180" s="5" t="inlineStr">
        <is>
          <t>Brand/category hub</t>
        </is>
      </c>
      <c r="G180" s="5" t="inlineStr">
        <is>
          <t>/gear/helmets/spyder-modular-helmet/</t>
        </is>
      </c>
      <c r="H180" s="6">
        <f>ROUND(MIN(100,LOG10(C180+1)*18+(10-D180)*2+IF(OR(E180="Commercial",E180="Informational / Transactional"),12,5)),0)</f>
        <v/>
      </c>
      <c r="I180" s="6">
        <f>IF(H180&gt;=85,"P1",IF(H180&gt;=70,"P2","P3"))</f>
        <v/>
      </c>
      <c r="J180" s="5" t="inlineStr">
        <is>
          <t>https://ahrefs.com/keywords-explorer</t>
        </is>
      </c>
    </row>
    <row r="181">
      <c r="A181" s="2" t="inlineStr">
        <is>
          <t>Accessories &amp; Riding Gear</t>
        </is>
      </c>
      <c r="B181" s="3" t="inlineStr">
        <is>
          <t>top box motorcycle</t>
        </is>
      </c>
      <c r="C181" s="4" t="n">
        <v>3500</v>
      </c>
      <c r="D181" s="3" t="n">
        <v>0</v>
      </c>
      <c r="E181" s="5" t="inlineStr">
        <is>
          <t>Commercial</t>
        </is>
      </c>
      <c r="F181" s="5" t="inlineStr">
        <is>
          <t>Accessory category/buying guide</t>
        </is>
      </c>
      <c r="G181" s="5" t="inlineStr">
        <is>
          <t>/accessories/top-box-motorcycle/</t>
        </is>
      </c>
      <c r="H181" s="6">
        <f>ROUND(MIN(100,LOG10(C181+1)*18+(10-D181)*2+IF(OR(E181="Commercial",E181="Informational / Transactional"),12,5)),0)</f>
        <v/>
      </c>
      <c r="I181" s="6">
        <f>IF(H181&gt;=85,"P1",IF(H181&gt;=70,"P2","P3"))</f>
        <v/>
      </c>
      <c r="J181" s="5" t="inlineStr">
        <is>
          <t>https://ahrefs.com/keywords-explorer</t>
        </is>
      </c>
    </row>
    <row r="182">
      <c r="A182" s="2" t="inlineStr">
        <is>
          <t>Accessories &amp; Riding Gear</t>
        </is>
      </c>
      <c r="B182" s="3" t="inlineStr">
        <is>
          <t>top box</t>
        </is>
      </c>
      <c r="C182" s="4" t="n">
        <v>3000</v>
      </c>
      <c r="D182" s="3" t="n">
        <v>0</v>
      </c>
      <c r="E182" s="5" t="inlineStr">
        <is>
          <t>Commercial</t>
        </is>
      </c>
      <c r="F182" s="5" t="inlineStr">
        <is>
          <t>Accessory category/buying guide</t>
        </is>
      </c>
      <c r="G182" s="5" t="inlineStr">
        <is>
          <t>/accessories/top-box/</t>
        </is>
      </c>
      <c r="H182" s="6">
        <f>ROUND(MIN(100,LOG10(C182+1)*18+(10-D182)*2+IF(OR(E182="Commercial",E182="Informational / Transactional"),12,5)),0)</f>
        <v/>
      </c>
      <c r="I182" s="6">
        <f>IF(H182&gt;=85,"P1",IF(H182&gt;=70,"P2","P3"))</f>
        <v/>
      </c>
      <c r="J182" s="5" t="inlineStr">
        <is>
          <t>https://ahrefs.com/keywords-explorer</t>
        </is>
      </c>
    </row>
    <row r="183">
      <c r="A183" s="2" t="inlineStr">
        <is>
          <t>Accessories &amp; Riding Gear</t>
        </is>
      </c>
      <c r="B183" s="3" t="inlineStr">
        <is>
          <t>sec top box</t>
        </is>
      </c>
      <c r="C183" s="4" t="n">
        <v>700</v>
      </c>
      <c r="D183" s="3" t="n">
        <v>0</v>
      </c>
      <c r="E183" s="5" t="inlineStr">
        <is>
          <t>Commercial</t>
        </is>
      </c>
      <c r="F183" s="5" t="inlineStr">
        <is>
          <t>Accessory category/buying guide</t>
        </is>
      </c>
      <c r="G183" s="5" t="inlineStr">
        <is>
          <t>/accessories/sec-top-box/</t>
        </is>
      </c>
      <c r="H183" s="6">
        <f>ROUND(MIN(100,LOG10(C183+1)*18+(10-D183)*2+IF(OR(E183="Commercial",E183="Informational / Transactional"),12,5)),0)</f>
        <v/>
      </c>
      <c r="I183" s="6">
        <f>IF(H183&gt;=85,"P1",IF(H183&gt;=70,"P2","P3"))</f>
        <v/>
      </c>
      <c r="J183" s="5" t="inlineStr">
        <is>
          <t>https://ahrefs.com/keywords-explorer</t>
        </is>
      </c>
    </row>
    <row r="184">
      <c r="A184" s="2" t="inlineStr">
        <is>
          <t>Accessories &amp; Riding Gear</t>
        </is>
      </c>
      <c r="B184" s="3" t="inlineStr">
        <is>
          <t>motorcycle gloves</t>
        </is>
      </c>
      <c r="C184" s="4" t="n">
        <v>600</v>
      </c>
      <c r="D184" s="3" t="n">
        <v>3</v>
      </c>
      <c r="E184" s="5" t="inlineStr">
        <is>
          <t>Commercial</t>
        </is>
      </c>
      <c r="F184" s="5" t="inlineStr">
        <is>
          <t>Accessory category/buying guide</t>
        </is>
      </c>
      <c r="G184" s="5" t="inlineStr">
        <is>
          <t>/accessories/motorcycle-gloves/</t>
        </is>
      </c>
      <c r="H184" s="6">
        <f>ROUND(MIN(100,LOG10(C184+1)*18+(10-D184)*2+IF(OR(E184="Commercial",E184="Informational / Transactional"),12,5)),0)</f>
        <v/>
      </c>
      <c r="I184" s="6">
        <f>IF(H184&gt;=85,"P1",IF(H184&gt;=70,"P2","P3"))</f>
        <v/>
      </c>
      <c r="J184" s="5" t="inlineStr">
        <is>
          <t>https://ahrefs.com/keywords-explorer</t>
        </is>
      </c>
    </row>
    <row r="185">
      <c r="A185" s="2" t="inlineStr">
        <is>
          <t>Accessories &amp; Riding Gear</t>
        </is>
      </c>
      <c r="B185" s="3" t="inlineStr">
        <is>
          <t>motorcycle jacket</t>
        </is>
      </c>
      <c r="C185" s="4" t="n">
        <v>600</v>
      </c>
      <c r="D185" s="3" t="n">
        <v>2</v>
      </c>
      <c r="E185" s="5" t="inlineStr">
        <is>
          <t>Commercial</t>
        </is>
      </c>
      <c r="F185" s="5" t="inlineStr">
        <is>
          <t>Accessory category/buying guide</t>
        </is>
      </c>
      <c r="G185" s="5" t="inlineStr">
        <is>
          <t>/accessories/motorcycle-jacket/</t>
        </is>
      </c>
      <c r="H185" s="6">
        <f>ROUND(MIN(100,LOG10(C185+1)*18+(10-D185)*2+IF(OR(E185="Commercial",E185="Informational / Transactional"),12,5)),0)</f>
        <v/>
      </c>
      <c r="I185" s="6">
        <f>IF(H185&gt;=85,"P1",IF(H185&gt;=70,"P2","P3"))</f>
        <v/>
      </c>
      <c r="J185" s="5" t="inlineStr">
        <is>
          <t>https://ahrefs.com/keywords-explorer</t>
        </is>
      </c>
    </row>
    <row r="186">
      <c r="A186" s="2" t="inlineStr">
        <is>
          <t>Accessories &amp; Riding Gear</t>
        </is>
      </c>
      <c r="B186" s="3" t="inlineStr">
        <is>
          <t>raincoat for motorcycle</t>
        </is>
      </c>
      <c r="C186" s="4" t="n">
        <v>500</v>
      </c>
      <c r="D186" s="3" t="n">
        <v>0</v>
      </c>
      <c r="E186" s="5" t="inlineStr">
        <is>
          <t>Commercial</t>
        </is>
      </c>
      <c r="F186" s="5" t="inlineStr">
        <is>
          <t>Accessory category/buying guide</t>
        </is>
      </c>
      <c r="G186" s="5" t="inlineStr">
        <is>
          <t>/accessories/raincoat-for-motorcycle/</t>
        </is>
      </c>
      <c r="H186" s="6">
        <f>ROUND(MIN(100,LOG10(C186+1)*18+(10-D186)*2+IF(OR(E186="Commercial",E186="Informational / Transactional"),12,5)),0)</f>
        <v/>
      </c>
      <c r="I186" s="6">
        <f>IF(H186&gt;=85,"P1",IF(H186&gt;=70,"P2","P3"))</f>
        <v/>
      </c>
      <c r="J186" s="5" t="inlineStr">
        <is>
          <t>https://ahrefs.com/keywords-explorer</t>
        </is>
      </c>
    </row>
    <row r="187">
      <c r="A187" s="2" t="inlineStr">
        <is>
          <t>Accessories &amp; Riding Gear</t>
        </is>
      </c>
      <c r="B187" s="3" t="inlineStr">
        <is>
          <t>phone holder for motorcycle</t>
        </is>
      </c>
      <c r="C187" s="4" t="n">
        <v>350</v>
      </c>
      <c r="D187" s="3" t="n">
        <v>0</v>
      </c>
      <c r="E187" s="5" t="inlineStr">
        <is>
          <t>Informational</t>
        </is>
      </c>
      <c r="F187" s="5" t="inlineStr">
        <is>
          <t>Accessory category/buying guide</t>
        </is>
      </c>
      <c r="G187" s="5" t="inlineStr">
        <is>
          <t>/accessories/phone-holder-for-motorcycle/</t>
        </is>
      </c>
      <c r="H187" s="6">
        <f>ROUND(MIN(100,LOG10(C187+1)*18+(10-D187)*2+IF(OR(E187="Commercial",E187="Informational / Transactional"),12,5)),0)</f>
        <v/>
      </c>
      <c r="I187" s="6">
        <f>IF(H187&gt;=85,"P1",IF(H187&gt;=70,"P2","P3"))</f>
        <v/>
      </c>
      <c r="J187" s="5" t="inlineStr">
        <is>
          <t>https://ahrefs.com/keywords-explorer</t>
        </is>
      </c>
    </row>
    <row r="188">
      <c r="A188" s="2" t="inlineStr">
        <is>
          <t>Accessories &amp; Riding Gear</t>
        </is>
      </c>
      <c r="B188" s="3" t="inlineStr">
        <is>
          <t>adv 160 accessories</t>
        </is>
      </c>
      <c r="C188" s="4" t="n">
        <v>200</v>
      </c>
      <c r="D188" s="3" t="n">
        <v>0</v>
      </c>
      <c r="E188" s="5" t="inlineStr">
        <is>
          <t>Informational</t>
        </is>
      </c>
      <c r="F188" s="5" t="inlineStr">
        <is>
          <t>Model compatibility page</t>
        </is>
      </c>
      <c r="G188" s="5" t="inlineStr">
        <is>
          <t>/accessories/adv-160-accessories/</t>
        </is>
      </c>
      <c r="H188" s="6">
        <f>ROUND(MIN(100,LOG10(C188+1)*18+(10-D188)*2+IF(OR(E188="Commercial",E188="Informational / Transactional"),12,5)),0)</f>
        <v/>
      </c>
      <c r="I188" s="6">
        <f>IF(H188&gt;=85,"P1",IF(H188&gt;=70,"P2","P3"))</f>
        <v/>
      </c>
      <c r="J188" s="5" t="inlineStr">
        <is>
          <t>https://ahrefs.com/keywords-explorer</t>
        </is>
      </c>
    </row>
    <row r="189">
      <c r="A189" s="2" t="inlineStr">
        <is>
          <t>Accessories &amp; Riding Gear</t>
        </is>
      </c>
      <c r="B189" s="3" t="inlineStr">
        <is>
          <t>honda click accessories</t>
        </is>
      </c>
      <c r="C189" s="4" t="n">
        <v>200</v>
      </c>
      <c r="D189" s="3" t="n">
        <v>0</v>
      </c>
      <c r="E189" s="5" t="inlineStr">
        <is>
          <t>Informational</t>
        </is>
      </c>
      <c r="F189" s="5" t="inlineStr">
        <is>
          <t>Model compatibility page</t>
        </is>
      </c>
      <c r="G189" s="5" t="inlineStr">
        <is>
          <t>/accessories/honda-click-accessories/</t>
        </is>
      </c>
      <c r="H189" s="6">
        <f>ROUND(MIN(100,LOG10(C189+1)*18+(10-D189)*2+IF(OR(E189="Commercial",E189="Informational / Transactional"),12,5)),0)</f>
        <v/>
      </c>
      <c r="I189" s="6">
        <f>IF(H189&gt;=85,"P1",IF(H189&gt;=70,"P2","P3"))</f>
        <v/>
      </c>
      <c r="J189" s="5" t="inlineStr">
        <is>
          <t>https://ahrefs.com/keywords-explorer</t>
        </is>
      </c>
    </row>
    <row r="190">
      <c r="A190" s="2" t="inlineStr">
        <is>
          <t>Accessories &amp; Riding Gear</t>
        </is>
      </c>
      <c r="B190" s="3" t="inlineStr">
        <is>
          <t>motorcycle parts and accessories</t>
        </is>
      </c>
      <c r="C190" s="4" t="n">
        <v>200</v>
      </c>
      <c r="D190" s="3" t="n">
        <v>0</v>
      </c>
      <c r="E190" s="5" t="inlineStr">
        <is>
          <t>Informational</t>
        </is>
      </c>
      <c r="F190" s="5" t="inlineStr">
        <is>
          <t>Accessory category/buying guide</t>
        </is>
      </c>
      <c r="G190" s="5" t="inlineStr">
        <is>
          <t>/accessories/motorcycle-parts-and-accessories/</t>
        </is>
      </c>
      <c r="H190" s="6">
        <f>ROUND(MIN(100,LOG10(C190+1)*18+(10-D190)*2+IF(OR(E190="Commercial",E190="Informational / Transactional"),12,5)),0)</f>
        <v/>
      </c>
      <c r="I190" s="6">
        <f>IF(H190&gt;=85,"P1",IF(H190&gt;=70,"P2","P3"))</f>
        <v/>
      </c>
      <c r="J190" s="5" t="inlineStr">
        <is>
          <t>https://ahrefs.com/keywords-explorer</t>
        </is>
      </c>
    </row>
    <row r="191">
      <c r="A191" s="2" t="inlineStr">
        <is>
          <t>Accessories &amp; Riding Gear</t>
        </is>
      </c>
      <c r="B191" s="3" t="inlineStr">
        <is>
          <t>motorcycle top box</t>
        </is>
      </c>
      <c r="C191" s="4" t="n">
        <v>200</v>
      </c>
      <c r="D191" s="3" t="n">
        <v>0</v>
      </c>
      <c r="E191" s="5" t="inlineStr">
        <is>
          <t>Commercial</t>
        </is>
      </c>
      <c r="F191" s="5" t="inlineStr">
        <is>
          <t>Accessory category/buying guide</t>
        </is>
      </c>
      <c r="G191" s="5" t="inlineStr">
        <is>
          <t>/accessories/motorcycle-top-box/</t>
        </is>
      </c>
      <c r="H191" s="6">
        <f>ROUND(MIN(100,LOG10(C191+1)*18+(10-D191)*2+IF(OR(E191="Commercial",E191="Informational / Transactional"),12,5)),0)</f>
        <v/>
      </c>
      <c r="I191" s="6">
        <f>IF(H191&gt;=85,"P1",IF(H191&gt;=70,"P2","P3"))</f>
        <v/>
      </c>
      <c r="J191" s="5" t="inlineStr">
        <is>
          <t>https://ahrefs.com/keywords-explorer</t>
        </is>
      </c>
    </row>
    <row r="192">
      <c r="A192" s="2" t="inlineStr">
        <is>
          <t>Accessories &amp; Riding Gear</t>
        </is>
      </c>
      <c r="B192" s="3" t="inlineStr">
        <is>
          <t>vespa top box</t>
        </is>
      </c>
      <c r="C192" s="4" t="n">
        <v>200</v>
      </c>
      <c r="D192" s="3" t="n">
        <v>0</v>
      </c>
      <c r="E192" s="5" t="inlineStr">
        <is>
          <t>Commercial</t>
        </is>
      </c>
      <c r="F192" s="5" t="inlineStr">
        <is>
          <t>Model compatibility page</t>
        </is>
      </c>
      <c r="G192" s="5" t="inlineStr">
        <is>
          <t>/accessories/vespa-top-box/</t>
        </is>
      </c>
      <c r="H192" s="6">
        <f>ROUND(MIN(100,LOG10(C192+1)*18+(10-D192)*2+IF(OR(E192="Commercial",E192="Informational / Transactional"),12,5)),0)</f>
        <v/>
      </c>
      <c r="I192" s="6">
        <f>IF(H192&gt;=85,"P1",IF(H192&gt;=70,"P2","P3"))</f>
        <v/>
      </c>
      <c r="J192" s="5" t="inlineStr">
        <is>
          <t>https://ahrefs.com/keywords-explorer</t>
        </is>
      </c>
    </row>
    <row r="193">
      <c r="A193" s="2" t="inlineStr">
        <is>
          <t>Accessories &amp; Riding Gear</t>
        </is>
      </c>
      <c r="B193" s="3" t="inlineStr">
        <is>
          <t>fazzio top box</t>
        </is>
      </c>
      <c r="C193" s="4" t="n">
        <v>150</v>
      </c>
      <c r="D193" s="3" t="n">
        <v>0</v>
      </c>
      <c r="E193" s="5" t="inlineStr">
        <is>
          <t>Commercial</t>
        </is>
      </c>
      <c r="F193" s="5" t="inlineStr">
        <is>
          <t>Model compatibility page</t>
        </is>
      </c>
      <c r="G193" s="5" t="inlineStr">
        <is>
          <t>/accessories/fazzio-top-box/</t>
        </is>
      </c>
      <c r="H193" s="6">
        <f>ROUND(MIN(100,LOG10(C193+1)*18+(10-D193)*2+IF(OR(E193="Commercial",E193="Informational / Transactional"),12,5)),0)</f>
        <v/>
      </c>
      <c r="I193" s="6">
        <f>IF(H193&gt;=85,"P1",IF(H193&gt;=70,"P2","P3"))</f>
        <v/>
      </c>
      <c r="J193" s="5" t="inlineStr">
        <is>
          <t>https://ahrefs.com/keywords-explorer</t>
        </is>
      </c>
    </row>
    <row r="194">
      <c r="A194" s="2" t="inlineStr">
        <is>
          <t>Accessories &amp; Riding Gear</t>
        </is>
      </c>
      <c r="B194" s="3" t="inlineStr">
        <is>
          <t>givi top box</t>
        </is>
      </c>
      <c r="C194" s="4" t="n">
        <v>150</v>
      </c>
      <c r="D194" s="3" t="n">
        <v>0</v>
      </c>
      <c r="E194" s="5" t="inlineStr">
        <is>
          <t>Commercial</t>
        </is>
      </c>
      <c r="F194" s="5" t="inlineStr">
        <is>
          <t>Accessory category/buying guide</t>
        </is>
      </c>
      <c r="G194" s="5" t="inlineStr">
        <is>
          <t>/accessories/givi-top-box/</t>
        </is>
      </c>
      <c r="H194" s="6">
        <f>ROUND(MIN(100,LOG10(C194+1)*18+(10-D194)*2+IF(OR(E194="Commercial",E194="Informational / Transactional"),12,5)),0)</f>
        <v/>
      </c>
      <c r="I194" s="6">
        <f>IF(H194&gt;=85,"P1",IF(H194&gt;=70,"P2","P3"))</f>
        <v/>
      </c>
      <c r="J194" s="5" t="inlineStr">
        <is>
          <t>https://ahrefs.com/keywords-explorer</t>
        </is>
      </c>
    </row>
    <row r="195">
      <c r="A195" s="2" t="inlineStr">
        <is>
          <t>Accessories &amp; Riding Gear</t>
        </is>
      </c>
      <c r="B195" s="3" t="inlineStr">
        <is>
          <t>gloves for motorcycle</t>
        </is>
      </c>
      <c r="C195" s="4" t="n">
        <v>150</v>
      </c>
      <c r="D195" s="3" t="n">
        <v>1</v>
      </c>
      <c r="E195" s="5" t="inlineStr">
        <is>
          <t>Commercial</t>
        </is>
      </c>
      <c r="F195" s="5" t="inlineStr">
        <is>
          <t>Accessory category/buying guide</t>
        </is>
      </c>
      <c r="G195" s="5" t="inlineStr">
        <is>
          <t>/accessories/gloves-for-motorcycle/</t>
        </is>
      </c>
      <c r="H195" s="6">
        <f>ROUND(MIN(100,LOG10(C195+1)*18+(10-D195)*2+IF(OR(E195="Commercial",E195="Informational / Transactional"),12,5)),0)</f>
        <v/>
      </c>
      <c r="I195" s="6">
        <f>IF(H195&gt;=85,"P1",IF(H195&gt;=70,"P2","P3"))</f>
        <v/>
      </c>
      <c r="J195" s="5" t="inlineStr">
        <is>
          <t>https://ahrefs.com/keywords-explorer</t>
        </is>
      </c>
    </row>
    <row r="196">
      <c r="A196" s="2" t="inlineStr">
        <is>
          <t>Accessories &amp; Riding Gear</t>
        </is>
      </c>
      <c r="B196" s="3" t="inlineStr">
        <is>
          <t>intercom motorcycle</t>
        </is>
      </c>
      <c r="C196" s="4" t="n">
        <v>150</v>
      </c>
      <c r="D196" s="3" t="n">
        <v>0</v>
      </c>
      <c r="E196" s="5" t="inlineStr">
        <is>
          <t>Commercial</t>
        </is>
      </c>
      <c r="F196" s="5" t="inlineStr">
        <is>
          <t>Accessory category/buying guide</t>
        </is>
      </c>
      <c r="G196" s="5" t="inlineStr">
        <is>
          <t>/accessories/intercom-motorcycle/</t>
        </is>
      </c>
      <c r="H196" s="6">
        <f>ROUND(MIN(100,LOG10(C196+1)*18+(10-D196)*2+IF(OR(E196="Commercial",E196="Informational / Transactional"),12,5)),0)</f>
        <v/>
      </c>
      <c r="I196" s="6">
        <f>IF(H196&gt;=85,"P1",IF(H196&gt;=70,"P2","P3"))</f>
        <v/>
      </c>
      <c r="J196" s="5" t="inlineStr">
        <is>
          <t>https://ahrefs.com/keywords-explorer</t>
        </is>
      </c>
    </row>
    <row r="197">
      <c r="A197" s="2" t="inlineStr">
        <is>
          <t>Accessories &amp; Riding Gear</t>
        </is>
      </c>
      <c r="B197" s="3" t="inlineStr">
        <is>
          <t>motorcycle intercom</t>
        </is>
      </c>
      <c r="C197" s="4" t="n">
        <v>150</v>
      </c>
      <c r="D197" s="3" t="n">
        <v>0</v>
      </c>
      <c r="E197" s="5" t="inlineStr">
        <is>
          <t>Commercial</t>
        </is>
      </c>
      <c r="F197" s="5" t="inlineStr">
        <is>
          <t>Accessory category/buying guide</t>
        </is>
      </c>
      <c r="G197" s="5" t="inlineStr">
        <is>
          <t>/accessories/motorcycle-intercom/</t>
        </is>
      </c>
      <c r="H197" s="6">
        <f>ROUND(MIN(100,LOG10(C197+1)*18+(10-D197)*2+IF(OR(E197="Commercial",E197="Informational / Transactional"),12,5)),0)</f>
        <v/>
      </c>
      <c r="I197" s="6">
        <f>IF(H197&gt;=85,"P1",IF(H197&gt;=70,"P2","P3"))</f>
        <v/>
      </c>
      <c r="J197" s="5" t="inlineStr">
        <is>
          <t>https://ahrefs.com/keywords-explorer</t>
        </is>
      </c>
    </row>
    <row r="198">
      <c r="A198" s="2" t="inlineStr">
        <is>
          <t>Accessories &amp; Riding Gear</t>
        </is>
      </c>
      <c r="B198" s="3" t="inlineStr">
        <is>
          <t>motorcycle jacket for men</t>
        </is>
      </c>
      <c r="C198" s="4" t="n">
        <v>150</v>
      </c>
      <c r="D198" s="3" t="n">
        <v>3</v>
      </c>
      <c r="E198" s="5" t="inlineStr">
        <is>
          <t>Commercial</t>
        </is>
      </c>
      <c r="F198" s="5" t="inlineStr">
        <is>
          <t>Accessory category/buying guide</t>
        </is>
      </c>
      <c r="G198" s="5" t="inlineStr">
        <is>
          <t>/accessories/motorcycle-jacket-for-men/</t>
        </is>
      </c>
      <c r="H198" s="6">
        <f>ROUND(MIN(100,LOG10(C198+1)*18+(10-D198)*2+IF(OR(E198="Commercial",E198="Informational / Transactional"),12,5)),0)</f>
        <v/>
      </c>
      <c r="I198" s="6">
        <f>IF(H198&gt;=85,"P1",IF(H198&gt;=70,"P2","P3"))</f>
        <v/>
      </c>
      <c r="J198" s="5" t="inlineStr">
        <is>
          <t>https://ahrefs.com/keywords-explorer</t>
        </is>
      </c>
    </row>
    <row r="199">
      <c r="A199" s="2" t="inlineStr">
        <is>
          <t>Accessories &amp; Riding Gear</t>
        </is>
      </c>
      <c r="B199" s="3" t="inlineStr">
        <is>
          <t>motorcycle phone holder</t>
        </is>
      </c>
      <c r="C199" s="4" t="n">
        <v>150</v>
      </c>
      <c r="D199" s="3" t="n">
        <v>0</v>
      </c>
      <c r="E199" s="5" t="inlineStr">
        <is>
          <t>Informational</t>
        </is>
      </c>
      <c r="F199" s="5" t="inlineStr">
        <is>
          <t>Accessory category/buying guide</t>
        </is>
      </c>
      <c r="G199" s="5" t="inlineStr">
        <is>
          <t>/accessories/motorcycle-phone-holder/</t>
        </is>
      </c>
      <c r="H199" s="6">
        <f>ROUND(MIN(100,LOG10(C199+1)*18+(10-D199)*2+IF(OR(E199="Commercial",E199="Informational / Transactional"),12,5)),0)</f>
        <v/>
      </c>
      <c r="I199" s="6">
        <f>IF(H199&gt;=85,"P1",IF(H199&gt;=70,"P2","P3"))</f>
        <v/>
      </c>
      <c r="J199" s="5" t="inlineStr">
        <is>
          <t>https://ahrefs.com/keywords-explorer</t>
        </is>
      </c>
    </row>
    <row r="200">
      <c r="A200" s="2" t="inlineStr">
        <is>
          <t>Accessories &amp; Riding Gear</t>
        </is>
      </c>
      <c r="B200" s="3" t="inlineStr">
        <is>
          <t>motorcycle raincoat</t>
        </is>
      </c>
      <c r="C200" s="4" t="n">
        <v>150</v>
      </c>
      <c r="D200" s="3" t="n">
        <v>0</v>
      </c>
      <c r="E200" s="5" t="inlineStr">
        <is>
          <t>Commercial</t>
        </is>
      </c>
      <c r="F200" s="5" t="inlineStr">
        <is>
          <t>Accessory category/buying guide</t>
        </is>
      </c>
      <c r="G200" s="5" t="inlineStr">
        <is>
          <t>/accessories/motorcycle-raincoat/</t>
        </is>
      </c>
      <c r="H200" s="6">
        <f>ROUND(MIN(100,LOG10(C200+1)*18+(10-D200)*2+IF(OR(E200="Commercial",E200="Informational / Transactional"),12,5)),0)</f>
        <v/>
      </c>
      <c r="I200" s="6">
        <f>IF(H200&gt;=85,"P1",IF(H200&gt;=70,"P2","P3"))</f>
        <v/>
      </c>
      <c r="J200" s="5" t="inlineStr">
        <is>
          <t>https://ahrefs.com/keywords-explorer</t>
        </is>
      </c>
    </row>
    <row r="201">
      <c r="A201" s="2" t="inlineStr">
        <is>
          <t>Accessories &amp; Riding Gear</t>
        </is>
      </c>
      <c r="B201" s="3" t="inlineStr">
        <is>
          <t>top box bracket</t>
        </is>
      </c>
      <c r="C201" s="4" t="n">
        <v>150</v>
      </c>
      <c r="D201" s="3" t="n">
        <v>0</v>
      </c>
      <c r="E201" s="5" t="inlineStr">
        <is>
          <t>Commercial</t>
        </is>
      </c>
      <c r="F201" s="5" t="inlineStr">
        <is>
          <t>Accessory category/buying guide</t>
        </is>
      </c>
      <c r="G201" s="5" t="inlineStr">
        <is>
          <t>/accessories/top-box-bracket/</t>
        </is>
      </c>
      <c r="H201" s="6">
        <f>ROUND(MIN(100,LOG10(C201+1)*18+(10-D201)*2+IF(OR(E201="Commercial",E201="Informational / Transactional"),12,5)),0)</f>
        <v/>
      </c>
      <c r="I201" s="6">
        <f>IF(H201&gt;=85,"P1",IF(H201&gt;=70,"P2","P3"))</f>
        <v/>
      </c>
      <c r="J201" s="5" t="inlineStr">
        <is>
          <t>https://ahrefs.com/keywords-explorer</t>
        </is>
      </c>
    </row>
    <row r="202">
      <c r="A202" s="2" t="inlineStr">
        <is>
          <t>Accessories &amp; Riding Gear</t>
        </is>
      </c>
      <c r="B202" s="3" t="inlineStr">
        <is>
          <t>top box for motorcycle</t>
        </is>
      </c>
      <c r="C202" s="4" t="n">
        <v>150</v>
      </c>
      <c r="D202" s="3" t="n">
        <v>0</v>
      </c>
      <c r="E202" s="5" t="inlineStr">
        <is>
          <t>Commercial</t>
        </is>
      </c>
      <c r="F202" s="5" t="inlineStr">
        <is>
          <t>Accessory category/buying guide</t>
        </is>
      </c>
      <c r="G202" s="5" t="inlineStr">
        <is>
          <t>/accessories/top-box-for-motorcycle/</t>
        </is>
      </c>
      <c r="H202" s="6">
        <f>ROUND(MIN(100,LOG10(C202+1)*18+(10-D202)*2+IF(OR(E202="Commercial",E202="Informational / Transactional"),12,5)),0)</f>
        <v/>
      </c>
      <c r="I202" s="6">
        <f>IF(H202&gt;=85,"P1",IF(H202&gt;=70,"P2","P3"))</f>
        <v/>
      </c>
      <c r="J202" s="5" t="inlineStr">
        <is>
          <t>https://ahrefs.com/keywords-explorer</t>
        </is>
      </c>
    </row>
    <row r="203">
      <c r="A203" s="2" t="inlineStr">
        <is>
          <t>Accessories &amp; Riding Gear</t>
        </is>
      </c>
      <c r="B203" s="3" t="inlineStr">
        <is>
          <t>aerox with top box</t>
        </is>
      </c>
      <c r="C203" s="4" t="n">
        <v>100</v>
      </c>
      <c r="D203" s="3" t="n">
        <v>0</v>
      </c>
      <c r="E203" s="5" t="inlineStr">
        <is>
          <t>Commercial</t>
        </is>
      </c>
      <c r="F203" s="5" t="inlineStr">
        <is>
          <t>Model compatibility page</t>
        </is>
      </c>
      <c r="G203" s="5" t="inlineStr">
        <is>
          <t>/accessories/aerox-with-top-box/</t>
        </is>
      </c>
      <c r="H203" s="6">
        <f>ROUND(MIN(100,LOG10(C203+1)*18+(10-D203)*2+IF(OR(E203="Commercial",E203="Informational / Transactional"),12,5)),0)</f>
        <v/>
      </c>
      <c r="I203" s="6">
        <f>IF(H203&gt;=85,"P1",IF(H203&gt;=70,"P2","P3"))</f>
        <v/>
      </c>
      <c r="J203" s="5" t="inlineStr">
        <is>
          <t>https://ahrefs.com/keywords-explorer</t>
        </is>
      </c>
    </row>
    <row r="204">
      <c r="A204" s="2" t="inlineStr">
        <is>
          <t>Accessories &amp; Riding Gear</t>
        </is>
      </c>
      <c r="B204" s="3" t="inlineStr">
        <is>
          <t>jacket for motorcycle</t>
        </is>
      </c>
      <c r="C204" s="4" t="n">
        <v>100</v>
      </c>
      <c r="D204" s="3" t="n">
        <v>0</v>
      </c>
      <c r="E204" s="5" t="inlineStr">
        <is>
          <t>Commercial</t>
        </is>
      </c>
      <c r="F204" s="5" t="inlineStr">
        <is>
          <t>Accessory category/buying guide</t>
        </is>
      </c>
      <c r="G204" s="5" t="inlineStr">
        <is>
          <t>/accessories/jacket-for-motorcycle/</t>
        </is>
      </c>
      <c r="H204" s="6">
        <f>ROUND(MIN(100,LOG10(C204+1)*18+(10-D204)*2+IF(OR(E204="Commercial",E204="Informational / Transactional"),12,5)),0)</f>
        <v/>
      </c>
      <c r="I204" s="6">
        <f>IF(H204&gt;=85,"P1",IF(H204&gt;=70,"P2","P3"))</f>
        <v/>
      </c>
      <c r="J204" s="5" t="inlineStr">
        <is>
          <t>https://ahrefs.com/keywords-explorer</t>
        </is>
      </c>
    </row>
    <row r="205">
      <c r="A205" s="2" t="inlineStr">
        <is>
          <t>Accessories &amp; Riding Gear</t>
        </is>
      </c>
      <c r="B205" s="3" t="inlineStr">
        <is>
          <t>gloves motorcycle</t>
        </is>
      </c>
      <c r="C205" s="4" t="n">
        <v>90</v>
      </c>
      <c r="D205" s="3" t="n">
        <v>2</v>
      </c>
      <c r="E205" s="5" t="inlineStr">
        <is>
          <t>Commercial</t>
        </is>
      </c>
      <c r="F205" s="5" t="inlineStr">
        <is>
          <t>Accessory category/buying guide</t>
        </is>
      </c>
      <c r="G205" s="5" t="inlineStr">
        <is>
          <t>/accessories/gloves-motorcycle/</t>
        </is>
      </c>
      <c r="H205" s="6">
        <f>ROUND(MIN(100,LOG10(C205+1)*18+(10-D205)*2+IF(OR(E205="Commercial",E205="Informational / Transactional"),12,5)),0)</f>
        <v/>
      </c>
      <c r="I205" s="6">
        <f>IF(H205&gt;=85,"P1",IF(H205&gt;=70,"P2","P3"))</f>
        <v/>
      </c>
      <c r="J205" s="5" t="inlineStr">
        <is>
          <t>https://ahrefs.com/keywords-explorer</t>
        </is>
      </c>
    </row>
    <row r="206">
      <c r="A206" s="2" t="inlineStr">
        <is>
          <t>Accessories &amp; Riding Gear</t>
        </is>
      </c>
      <c r="B206" s="3" t="inlineStr">
        <is>
          <t>shad top box</t>
        </is>
      </c>
      <c r="C206" s="4" t="n">
        <v>90</v>
      </c>
      <c r="D206" s="3" t="n">
        <v>0</v>
      </c>
      <c r="E206" s="5" t="inlineStr">
        <is>
          <t>Commercial</t>
        </is>
      </c>
      <c r="F206" s="5" t="inlineStr">
        <is>
          <t>Accessory category/buying guide</t>
        </is>
      </c>
      <c r="G206" s="5" t="inlineStr">
        <is>
          <t>/accessories/shad-top-box/</t>
        </is>
      </c>
      <c r="H206" s="6">
        <f>ROUND(MIN(100,LOG10(C206+1)*18+(10-D206)*2+IF(OR(E206="Commercial",E206="Informational / Transactional"),12,5)),0)</f>
        <v/>
      </c>
      <c r="I206" s="6">
        <f>IF(H206&gt;=85,"P1",IF(H206&gt;=70,"P2","P3"))</f>
        <v/>
      </c>
      <c r="J206" s="5" t="inlineStr">
        <is>
          <t>https://ahrefs.com/keywords-explorer</t>
        </is>
      </c>
    </row>
    <row r="207">
      <c r="A207" s="2" t="inlineStr">
        <is>
          <t>Accessories &amp; Riding Gear</t>
        </is>
      </c>
      <c r="B207" s="3" t="inlineStr">
        <is>
          <t>duhan top box</t>
        </is>
      </c>
      <c r="C207" s="4" t="n">
        <v>80</v>
      </c>
      <c r="D207" s="3" t="n">
        <v>0</v>
      </c>
      <c r="E207" s="5" t="inlineStr">
        <is>
          <t>Commercial</t>
        </is>
      </c>
      <c r="F207" s="5" t="inlineStr">
        <is>
          <t>Accessory category/buying guide</t>
        </is>
      </c>
      <c r="G207" s="5" t="inlineStr">
        <is>
          <t>/accessories/duhan-top-box/</t>
        </is>
      </c>
      <c r="H207" s="6">
        <f>ROUND(MIN(100,LOG10(C207+1)*18+(10-D207)*2+IF(OR(E207="Commercial",E207="Informational / Transactional"),12,5)),0)</f>
        <v/>
      </c>
      <c r="I207" s="6">
        <f>IF(H207&gt;=85,"P1",IF(H207&gt;=70,"P2","P3"))</f>
        <v/>
      </c>
      <c r="J207" s="5" t="inlineStr">
        <is>
          <t>https://ahrefs.com/keywords-explorer</t>
        </is>
      </c>
    </row>
    <row r="208">
      <c r="A208" s="2" t="inlineStr">
        <is>
          <t>Accessories &amp; Riding Gear</t>
        </is>
      </c>
      <c r="B208" s="3" t="inlineStr">
        <is>
          <t>intercom for motorcycle</t>
        </is>
      </c>
      <c r="C208" s="4" t="n">
        <v>80</v>
      </c>
      <c r="D208" s="3" t="n">
        <v>0</v>
      </c>
      <c r="E208" s="5" t="inlineStr">
        <is>
          <t>Commercial</t>
        </is>
      </c>
      <c r="F208" s="5" t="inlineStr">
        <is>
          <t>Accessory category/buying guide</t>
        </is>
      </c>
      <c r="G208" s="5" t="inlineStr">
        <is>
          <t>/accessories/intercom-for-motorcycle/</t>
        </is>
      </c>
      <c r="H208" s="6">
        <f>ROUND(MIN(100,LOG10(C208+1)*18+(10-D208)*2+IF(OR(E208="Commercial",E208="Informational / Transactional"),12,5)),0)</f>
        <v/>
      </c>
      <c r="I208" s="6">
        <f>IF(H208&gt;=85,"P1",IF(H208&gt;=70,"P2","P3"))</f>
        <v/>
      </c>
      <c r="J208" s="5" t="inlineStr">
        <is>
          <t>https://ahrefs.com/keywords-explorer</t>
        </is>
      </c>
    </row>
    <row r="209">
      <c r="A209" s="2" t="inlineStr">
        <is>
          <t>Accessories &amp; Riding Gear</t>
        </is>
      </c>
      <c r="B209" s="3" t="inlineStr">
        <is>
          <t>niwra top box</t>
        </is>
      </c>
      <c r="C209" s="4" t="n">
        <v>80</v>
      </c>
      <c r="D209" s="3" t="n">
        <v>0</v>
      </c>
      <c r="E209" s="5" t="inlineStr">
        <is>
          <t>Commercial</t>
        </is>
      </c>
      <c r="F209" s="5" t="inlineStr">
        <is>
          <t>Accessory category/buying guide</t>
        </is>
      </c>
      <c r="G209" s="5" t="inlineStr">
        <is>
          <t>/accessories/niwra-top-box/</t>
        </is>
      </c>
      <c r="H209" s="6">
        <f>ROUND(MIN(100,LOG10(C209+1)*18+(10-D209)*2+IF(OR(E209="Commercial",E209="Informational / Transactional"),12,5)),0)</f>
        <v/>
      </c>
      <c r="I209" s="6">
        <f>IF(H209&gt;=85,"P1",IF(H209&gt;=70,"P2","P3"))</f>
        <v/>
      </c>
      <c r="J209" s="5" t="inlineStr">
        <is>
          <t>https://ahrefs.com/keywords-explorer</t>
        </is>
      </c>
    </row>
    <row r="210">
      <c r="A210" s="2" t="inlineStr">
        <is>
          <t>Accessories &amp; Riding Gear</t>
        </is>
      </c>
      <c r="B210" s="3" t="inlineStr">
        <is>
          <t>cell phone holder for motorcycle</t>
        </is>
      </c>
      <c r="C210" s="4" t="n">
        <v>70</v>
      </c>
      <c r="D210" s="3" t="n">
        <v>0</v>
      </c>
      <c r="E210" s="5" t="inlineStr">
        <is>
          <t>Informational</t>
        </is>
      </c>
      <c r="F210" s="5" t="inlineStr">
        <is>
          <t>Accessory category/buying guide</t>
        </is>
      </c>
      <c r="G210" s="5" t="inlineStr">
        <is>
          <t>/accessories/cell-phone-holder-for-motorcycle/</t>
        </is>
      </c>
      <c r="H210" s="6">
        <f>ROUND(MIN(100,LOG10(C210+1)*18+(10-D210)*2+IF(OR(E210="Commercial",E210="Informational / Transactional"),12,5)),0)</f>
        <v/>
      </c>
      <c r="I210" s="6">
        <f>IF(H210&gt;=85,"P1",IF(H210&gt;=70,"P2","P3"))</f>
        <v/>
      </c>
      <c r="J210" s="5" t="inlineStr">
        <is>
          <t>https://ahrefs.com/keywords-explorer</t>
        </is>
      </c>
    </row>
    <row r="211">
      <c r="A211" s="2" t="inlineStr">
        <is>
          <t>Accessories &amp; Riding Gear</t>
        </is>
      </c>
      <c r="B211" s="3" t="inlineStr">
        <is>
          <t>raincoat motorcycle</t>
        </is>
      </c>
      <c r="C211" s="4" t="n">
        <v>70</v>
      </c>
      <c r="D211" s="3" t="n">
        <v>0</v>
      </c>
      <c r="E211" s="5" t="inlineStr">
        <is>
          <t>Commercial</t>
        </is>
      </c>
      <c r="F211" s="5" t="inlineStr">
        <is>
          <t>Accessory category/buying guide</t>
        </is>
      </c>
      <c r="G211" s="5" t="inlineStr">
        <is>
          <t>/accessories/raincoat-motorcycle/</t>
        </is>
      </c>
      <c r="H211" s="6">
        <f>ROUND(MIN(100,LOG10(C211+1)*18+(10-D211)*2+IF(OR(E211="Commercial",E211="Informational / Transactional"),12,5)),0)</f>
        <v/>
      </c>
      <c r="I211" s="6">
        <f>IF(H211&gt;=85,"P1",IF(H211&gt;=70,"P2","P3"))</f>
        <v/>
      </c>
      <c r="J211" s="5" t="inlineStr">
        <is>
          <t>https://ahrefs.com/keywords-explorer</t>
        </is>
      </c>
    </row>
    <row r="212">
      <c r="A212" s="2" t="inlineStr">
        <is>
          <t>Accessories &amp; Riding Gear</t>
        </is>
      </c>
      <c r="B212" s="3" t="inlineStr">
        <is>
          <t>sec top box price</t>
        </is>
      </c>
      <c r="C212" s="4" t="n">
        <v>70</v>
      </c>
      <c r="D212" s="3" t="n">
        <v>0</v>
      </c>
      <c r="E212" s="5" t="inlineStr">
        <is>
          <t>Commercial</t>
        </is>
      </c>
      <c r="F212" s="5" t="inlineStr">
        <is>
          <t>Accessory category/buying guide</t>
        </is>
      </c>
      <c r="G212" s="5" t="inlineStr">
        <is>
          <t>/accessories/sec-top-box-price/</t>
        </is>
      </c>
      <c r="H212" s="6">
        <f>ROUND(MIN(100,LOG10(C212+1)*18+(10-D212)*2+IF(OR(E212="Commercial",E212="Informational / Transactional"),12,5)),0)</f>
        <v/>
      </c>
      <c r="I212" s="6">
        <f>IF(H212&gt;=85,"P1",IF(H212&gt;=70,"P2","P3"))</f>
        <v/>
      </c>
      <c r="J212" s="5" t="inlineStr">
        <is>
          <t>https://ahrefs.com/keywords-explorer</t>
        </is>
      </c>
    </row>
    <row r="213">
      <c r="A213" s="2" t="inlineStr">
        <is>
          <t>Accessories &amp; Riding Gear</t>
        </is>
      </c>
      <c r="B213" s="3" t="inlineStr">
        <is>
          <t>accessories for motorcycle</t>
        </is>
      </c>
      <c r="C213" s="4" t="n">
        <v>60</v>
      </c>
      <c r="D213" s="3" t="n">
        <v>0</v>
      </c>
      <c r="E213" s="5" t="inlineStr">
        <is>
          <t>Informational</t>
        </is>
      </c>
      <c r="F213" s="5" t="inlineStr">
        <is>
          <t>Accessory category/buying guide</t>
        </is>
      </c>
      <c r="G213" s="5" t="inlineStr">
        <is>
          <t>/accessories/accessories-for-motorcycle/</t>
        </is>
      </c>
      <c r="H213" s="6">
        <f>ROUND(MIN(100,LOG10(C213+1)*18+(10-D213)*2+IF(OR(E213="Commercial",E213="Informational / Transactional"),12,5)),0)</f>
        <v/>
      </c>
      <c r="I213" s="6">
        <f>IF(H213&gt;=85,"P1",IF(H213&gt;=70,"P2","P3"))</f>
        <v/>
      </c>
      <c r="J213" s="5" t="inlineStr">
        <is>
          <t>https://ahrefs.com/keywords-explorer</t>
        </is>
      </c>
    </row>
    <row r="214">
      <c r="A214" s="2" t="inlineStr">
        <is>
          <t>Accessories &amp; Riding Gear</t>
        </is>
      </c>
      <c r="B214" s="3" t="inlineStr">
        <is>
          <t>aerox accessories</t>
        </is>
      </c>
      <c r="C214" s="4" t="n">
        <v>60</v>
      </c>
      <c r="D214" s="3" t="n">
        <v>0</v>
      </c>
      <c r="E214" s="5" t="inlineStr">
        <is>
          <t>Informational</t>
        </is>
      </c>
      <c r="F214" s="5" t="inlineStr">
        <is>
          <t>Model compatibility page</t>
        </is>
      </c>
      <c r="G214" s="5" t="inlineStr">
        <is>
          <t>/accessories/aerox-accessories/</t>
        </is>
      </c>
      <c r="H214" s="6">
        <f>ROUND(MIN(100,LOG10(C214+1)*18+(10-D214)*2+IF(OR(E214="Commercial",E214="Informational / Transactional"),12,5)),0)</f>
        <v/>
      </c>
      <c r="I214" s="6">
        <f>IF(H214&gt;=85,"P1",IF(H214&gt;=70,"P2","P3"))</f>
        <v/>
      </c>
      <c r="J214" s="5" t="inlineStr">
        <is>
          <t>https://ahrefs.com/keywords-explorer</t>
        </is>
      </c>
    </row>
    <row r="215">
      <c r="A215" s="2" t="inlineStr">
        <is>
          <t>Accessories &amp; Riding Gear</t>
        </is>
      </c>
      <c r="B215" s="3" t="inlineStr">
        <is>
          <t>honda click 125i accessories</t>
        </is>
      </c>
      <c r="C215" s="4" t="n">
        <v>60</v>
      </c>
      <c r="D215" s="3" t="n">
        <v>0</v>
      </c>
      <c r="E215" s="5" t="inlineStr">
        <is>
          <t>Informational</t>
        </is>
      </c>
      <c r="F215" s="5" t="inlineStr">
        <is>
          <t>Model compatibility page</t>
        </is>
      </c>
      <c r="G215" s="5" t="inlineStr">
        <is>
          <t>/accessories/honda-click-125i-accessories/</t>
        </is>
      </c>
      <c r="H215" s="6">
        <f>ROUND(MIN(100,LOG10(C215+1)*18+(10-D215)*2+IF(OR(E215="Commercial",E215="Informational / Transactional"),12,5)),0)</f>
        <v/>
      </c>
      <c r="I215" s="6">
        <f>IF(H215&gt;=85,"P1",IF(H215&gt;=70,"P2","P3"))</f>
        <v/>
      </c>
      <c r="J215" s="5" t="inlineStr">
        <is>
          <t>https://ahrefs.com/keywords-explorer</t>
        </is>
      </c>
    </row>
    <row r="216">
      <c r="A216" s="2" t="inlineStr">
        <is>
          <t>Accessories &amp; Riding Gear</t>
        </is>
      </c>
      <c r="B216" s="3" t="inlineStr">
        <is>
          <t>motorcycle accessories list</t>
        </is>
      </c>
      <c r="C216" s="4" t="n">
        <v>60</v>
      </c>
      <c r="D216" s="3" t="n">
        <v>0</v>
      </c>
      <c r="E216" s="5" t="inlineStr">
        <is>
          <t>Informational</t>
        </is>
      </c>
      <c r="F216" s="5" t="inlineStr">
        <is>
          <t>Accessory category/buying guide</t>
        </is>
      </c>
      <c r="G216" s="5" t="inlineStr">
        <is>
          <t>/accessories/motorcycle-accessories-list/</t>
        </is>
      </c>
      <c r="H216" s="6">
        <f>ROUND(MIN(100,LOG10(C216+1)*18+(10-D216)*2+IF(OR(E216="Commercial",E216="Informational / Transactional"),12,5)),0)</f>
        <v/>
      </c>
      <c r="I216" s="6">
        <f>IF(H216&gt;=85,"P1",IF(H216&gt;=70,"P2","P3"))</f>
        <v/>
      </c>
      <c r="J216" s="5" t="inlineStr">
        <is>
          <t>https://ahrefs.com/keywords-explorer</t>
        </is>
      </c>
    </row>
    <row r="217">
      <c r="A217" s="2" t="inlineStr">
        <is>
          <t>Accessories &amp; Riding Gear</t>
        </is>
      </c>
      <c r="B217" s="3" t="inlineStr">
        <is>
          <t>motorcycle leather jacket</t>
        </is>
      </c>
      <c r="C217" s="4" t="n">
        <v>60</v>
      </c>
      <c r="D217" s="3" t="n">
        <v>0</v>
      </c>
      <c r="E217" s="5" t="inlineStr">
        <is>
          <t>Commercial</t>
        </is>
      </c>
      <c r="F217" s="5" t="inlineStr">
        <is>
          <t>Accessory category/buying guide</t>
        </is>
      </c>
      <c r="G217" s="5" t="inlineStr">
        <is>
          <t>/accessories/motorcycle-leather-jacket/</t>
        </is>
      </c>
      <c r="H217" s="6">
        <f>ROUND(MIN(100,LOG10(C217+1)*18+(10-D217)*2+IF(OR(E217="Commercial",E217="Informational / Transactional"),12,5)),0)</f>
        <v/>
      </c>
      <c r="I217" s="6">
        <f>IF(H217&gt;=85,"P1",IF(H217&gt;=70,"P2","P3"))</f>
        <v/>
      </c>
      <c r="J217" s="5" t="inlineStr">
        <is>
          <t>https://ahrefs.com/keywords-explorer</t>
        </is>
      </c>
    </row>
    <row r="218">
      <c r="A218" s="2" t="inlineStr">
        <is>
          <t>Accessories &amp; Riding Gear</t>
        </is>
      </c>
      <c r="B218" s="3" t="inlineStr">
        <is>
          <t>nmax v2 accessories</t>
        </is>
      </c>
      <c r="C218" s="4" t="n">
        <v>60</v>
      </c>
      <c r="D218" s="3" t="n">
        <v>0</v>
      </c>
      <c r="E218" s="5" t="inlineStr">
        <is>
          <t>Informational</t>
        </is>
      </c>
      <c r="F218" s="5" t="inlineStr">
        <is>
          <t>Model compatibility page</t>
        </is>
      </c>
      <c r="G218" s="5" t="inlineStr">
        <is>
          <t>/accessories/nmax-v2-accessories/</t>
        </is>
      </c>
      <c r="H218" s="6">
        <f>ROUND(MIN(100,LOG10(C218+1)*18+(10-D218)*2+IF(OR(E218="Commercial",E218="Informational / Transactional"),12,5)),0)</f>
        <v/>
      </c>
      <c r="I218" s="6">
        <f>IF(H218&gt;=85,"P1",IF(H218&gt;=70,"P2","P3"))</f>
        <v/>
      </c>
      <c r="J218" s="5" t="inlineStr">
        <is>
          <t>https://ahrefs.com/keywords-explorer</t>
        </is>
      </c>
    </row>
    <row r="219">
      <c r="A219" s="2" t="inlineStr">
        <is>
          <t>Accessories &amp; Riding Gear</t>
        </is>
      </c>
      <c r="B219" s="3" t="inlineStr">
        <is>
          <t>nmax accessories</t>
        </is>
      </c>
      <c r="C219" s="4" t="n">
        <v>50</v>
      </c>
      <c r="D219" s="3" t="n">
        <v>0</v>
      </c>
      <c r="E219" s="5" t="inlineStr">
        <is>
          <t>Informational</t>
        </is>
      </c>
      <c r="F219" s="5" t="inlineStr">
        <is>
          <t>Model compatibility page</t>
        </is>
      </c>
      <c r="G219" s="5" t="inlineStr">
        <is>
          <t>/accessories/nmax-accessories/</t>
        </is>
      </c>
      <c r="H219" s="6">
        <f>ROUND(MIN(100,LOG10(C219+1)*18+(10-D219)*2+IF(OR(E219="Commercial",E219="Informational / Transactional"),12,5)),0)</f>
        <v/>
      </c>
      <c r="I219" s="6">
        <f>IF(H219&gt;=85,"P1",IF(H219&gt;=70,"P2","P3"))</f>
        <v/>
      </c>
      <c r="J219" s="5" t="inlineStr">
        <is>
          <t>https://ahrefs.com/keywords-explorer</t>
        </is>
      </c>
    </row>
    <row r="220">
      <c r="A220" s="2" t="inlineStr">
        <is>
          <t>Accessories &amp; Riding Gear</t>
        </is>
      </c>
      <c r="B220" s="3" t="inlineStr">
        <is>
          <t>aerox top box</t>
        </is>
      </c>
      <c r="C220" s="4" t="n">
        <v>40</v>
      </c>
      <c r="D220" s="3" t="n">
        <v>0</v>
      </c>
      <c r="E220" s="5" t="inlineStr">
        <is>
          <t>Commercial</t>
        </is>
      </c>
      <c r="F220" s="5" t="inlineStr">
        <is>
          <t>Model compatibility page</t>
        </is>
      </c>
      <c r="G220" s="5" t="inlineStr">
        <is>
          <t>/accessories/aerox-top-box/</t>
        </is>
      </c>
      <c r="H220" s="6">
        <f>ROUND(MIN(100,LOG10(C220+1)*18+(10-D220)*2+IF(OR(E220="Commercial",E220="Informational / Transactional"),12,5)),0)</f>
        <v/>
      </c>
      <c r="I220" s="6">
        <f>IF(H220&gt;=85,"P1",IF(H220&gt;=70,"P2","P3"))</f>
        <v/>
      </c>
      <c r="J220" s="5" t="inlineStr">
        <is>
          <t>https://ahrefs.com/keywords-explorer</t>
        </is>
      </c>
    </row>
    <row r="221">
      <c r="A221" s="2" t="inlineStr">
        <is>
          <t>Accessories &amp; Riding Gear</t>
        </is>
      </c>
      <c r="B221" s="3" t="inlineStr">
        <is>
          <t>aerox v2 accessories</t>
        </is>
      </c>
      <c r="C221" s="4" t="n">
        <v>40</v>
      </c>
      <c r="D221" s="3" t="n">
        <v>0</v>
      </c>
      <c r="E221" s="5" t="inlineStr">
        <is>
          <t>Informational</t>
        </is>
      </c>
      <c r="F221" s="5" t="inlineStr">
        <is>
          <t>Model compatibility page</t>
        </is>
      </c>
      <c r="G221" s="5" t="inlineStr">
        <is>
          <t>/accessories/aerox-v2-accessories/</t>
        </is>
      </c>
      <c r="H221" s="6">
        <f>ROUND(MIN(100,LOG10(C221+1)*18+(10-D221)*2+IF(OR(E221="Commercial",E221="Informational / Transactional"),12,5)),0)</f>
        <v/>
      </c>
      <c r="I221" s="6">
        <f>IF(H221&gt;=85,"P1",IF(H221&gt;=70,"P2","P3"))</f>
        <v/>
      </c>
      <c r="J221" s="5" t="inlineStr">
        <is>
          <t>https://ahrefs.com/keywords-explorer</t>
        </is>
      </c>
    </row>
    <row r="222">
      <c r="A222" s="2" t="inlineStr">
        <is>
          <t>Accessories &amp; Riding Gear</t>
        </is>
      </c>
      <c r="B222" s="3" t="inlineStr">
        <is>
          <t>honda click v3 accessories</t>
        </is>
      </c>
      <c r="C222" s="4" t="n">
        <v>40</v>
      </c>
      <c r="D222" s="3" t="n">
        <v>0</v>
      </c>
      <c r="E222" s="5" t="inlineStr">
        <is>
          <t>Informational</t>
        </is>
      </c>
      <c r="F222" s="5" t="inlineStr">
        <is>
          <t>Model compatibility page</t>
        </is>
      </c>
      <c r="G222" s="5" t="inlineStr">
        <is>
          <t>/accessories/honda-click-v3-accessories/</t>
        </is>
      </c>
      <c r="H222" s="6">
        <f>ROUND(MIN(100,LOG10(C222+1)*18+(10-D222)*2+IF(OR(E222="Commercial",E222="Informational / Transactional"),12,5)),0)</f>
        <v/>
      </c>
      <c r="I222" s="6">
        <f>IF(H222&gt;=85,"P1",IF(H222&gt;=70,"P2","P3"))</f>
        <v/>
      </c>
      <c r="J222" s="5" t="inlineStr">
        <is>
          <t>https://ahrefs.com/keywords-explorer</t>
        </is>
      </c>
    </row>
    <row r="223">
      <c r="A223" s="2" t="inlineStr">
        <is>
          <t>Accessories &amp; Riding Gear</t>
        </is>
      </c>
      <c r="B223" s="3" t="inlineStr">
        <is>
          <t>honda adv 160 accessories</t>
        </is>
      </c>
      <c r="C223" s="4" t="n">
        <v>30</v>
      </c>
      <c r="D223" s="3" t="n">
        <v>0</v>
      </c>
      <c r="E223" s="5" t="inlineStr">
        <is>
          <t>Informational</t>
        </is>
      </c>
      <c r="F223" s="5" t="inlineStr">
        <is>
          <t>Model compatibility page</t>
        </is>
      </c>
      <c r="G223" s="5" t="inlineStr">
        <is>
          <t>/accessories/honda-adv-160-accessories/</t>
        </is>
      </c>
      <c r="H223" s="6">
        <f>ROUND(MIN(100,LOG10(C223+1)*18+(10-D223)*2+IF(OR(E223="Commercial",E223="Informational / Transactional"),12,5)),0)</f>
        <v/>
      </c>
      <c r="I223" s="6">
        <f>IF(H223&gt;=85,"P1",IF(H223&gt;=70,"P2","P3"))</f>
        <v/>
      </c>
      <c r="J223" s="5" t="inlineStr">
        <is>
          <t>https://ahrefs.com/keywords-explorer</t>
        </is>
      </c>
    </row>
    <row r="224">
      <c r="A224" s="2" t="inlineStr">
        <is>
          <t>Accessories &amp; Riding Gear</t>
        </is>
      </c>
      <c r="B224" s="3" t="inlineStr">
        <is>
          <t>nmax accessories v2</t>
        </is>
      </c>
      <c r="C224" s="4" t="n">
        <v>30</v>
      </c>
      <c r="D224" s="3" t="n">
        <v>0</v>
      </c>
      <c r="E224" s="5" t="inlineStr">
        <is>
          <t>Informational</t>
        </is>
      </c>
      <c r="F224" s="5" t="inlineStr">
        <is>
          <t>Model compatibility page</t>
        </is>
      </c>
      <c r="G224" s="5" t="inlineStr">
        <is>
          <t>/accessories/nmax-accessories-v2/</t>
        </is>
      </c>
      <c r="H224" s="6">
        <f>ROUND(MIN(100,LOG10(C224+1)*18+(10-D224)*2+IF(OR(E224="Commercial",E224="Informational / Transactional"),12,5)),0)</f>
        <v/>
      </c>
      <c r="I224" s="6">
        <f>IF(H224&gt;=85,"P1",IF(H224&gt;=70,"P2","P3"))</f>
        <v/>
      </c>
      <c r="J224" s="5" t="inlineStr">
        <is>
          <t>https://ahrefs.com/keywords-explorer</t>
        </is>
      </c>
    </row>
    <row r="225">
      <c r="A225" s="2" t="inlineStr">
        <is>
          <t>Accessories &amp; Riding Gear</t>
        </is>
      </c>
      <c r="B225" s="3" t="inlineStr">
        <is>
          <t>nmax v1 accessories</t>
        </is>
      </c>
      <c r="C225" s="4" t="n">
        <v>20</v>
      </c>
      <c r="D225" s="3" t="n">
        <v>0</v>
      </c>
      <c r="E225" s="5" t="inlineStr">
        <is>
          <t>Informational</t>
        </is>
      </c>
      <c r="F225" s="5" t="inlineStr">
        <is>
          <t>Model compatibility page</t>
        </is>
      </c>
      <c r="G225" s="5" t="inlineStr">
        <is>
          <t>/accessories/nmax-v1-accessories/</t>
        </is>
      </c>
      <c r="H225" s="6">
        <f>ROUND(MIN(100,LOG10(C225+1)*18+(10-D225)*2+IF(OR(E225="Commercial",E225="Informational / Transactional"),12,5)),0)</f>
        <v/>
      </c>
      <c r="I225" s="6">
        <f>IF(H225&gt;=85,"P1",IF(H225&gt;=70,"P2","P3"))</f>
        <v/>
      </c>
      <c r="J225" s="5" t="inlineStr">
        <is>
          <t>https://ahrefs.com/keywords-explorer</t>
        </is>
      </c>
    </row>
    <row r="226">
      <c r="A226" s="2" t="inlineStr">
        <is>
          <t>Maintenance &amp; Parts</t>
        </is>
      </c>
      <c r="B226" s="3" t="inlineStr">
        <is>
          <t>motorcycle battery</t>
        </is>
      </c>
      <c r="C226" s="4" t="n">
        <v>1200</v>
      </c>
      <c r="D226" s="3" t="n">
        <v>0</v>
      </c>
      <c r="E226" s="5" t="inlineStr">
        <is>
          <t>Commercial</t>
        </is>
      </c>
      <c r="F226" s="5" t="inlineStr">
        <is>
          <t>Part/maintenance guide</t>
        </is>
      </c>
      <c r="G226" s="5" t="inlineStr">
        <is>
          <t>/maintenance/motorcycle-battery/</t>
        </is>
      </c>
      <c r="H226" s="6">
        <f>ROUND(MIN(100,LOG10(C226+1)*18+(10-D226)*2+IF(OR(E226="Commercial",E226="Informational / Transactional"),12,5)),0)</f>
        <v/>
      </c>
      <c r="I226" s="6">
        <f>IF(H226&gt;=85,"P1",IF(H226&gt;=70,"P2","P3"))</f>
        <v/>
      </c>
      <c r="J226" s="5" t="inlineStr">
        <is>
          <t>https://ahrefs.com/keywords-explorer</t>
        </is>
      </c>
    </row>
    <row r="227">
      <c r="A227" s="2" t="inlineStr">
        <is>
          <t>Maintenance &amp; Parts</t>
        </is>
      </c>
      <c r="B227" s="3" t="inlineStr">
        <is>
          <t>coolant for motorcycle</t>
        </is>
      </c>
      <c r="C227" s="4" t="n">
        <v>900</v>
      </c>
      <c r="D227" s="3" t="n">
        <v>0</v>
      </c>
      <c r="E227" s="5" t="inlineStr">
        <is>
          <t>Informational</t>
        </is>
      </c>
      <c r="F227" s="5" t="inlineStr">
        <is>
          <t>Part/maintenance guide</t>
        </is>
      </c>
      <c r="G227" s="5" t="inlineStr">
        <is>
          <t>/maintenance/coolant-for-motorcycle/</t>
        </is>
      </c>
      <c r="H227" s="6">
        <f>ROUND(MIN(100,LOG10(C227+1)*18+(10-D227)*2+IF(OR(E227="Commercial",E227="Informational / Transactional"),12,5)),0)</f>
        <v/>
      </c>
      <c r="I227" s="6">
        <f>IF(H227&gt;=85,"P1",IF(H227&gt;=70,"P2","P3"))</f>
        <v/>
      </c>
      <c r="J227" s="5" t="inlineStr">
        <is>
          <t>https://ahrefs.com/keywords-explorer</t>
        </is>
      </c>
    </row>
    <row r="228">
      <c r="A228" s="2" t="inlineStr">
        <is>
          <t>Maintenance &amp; Parts</t>
        </is>
      </c>
      <c r="B228" s="3" t="inlineStr">
        <is>
          <t>sprocket motorcycle</t>
        </is>
      </c>
      <c r="C228" s="4" t="n">
        <v>800</v>
      </c>
      <c r="D228" s="3" t="n">
        <v>1</v>
      </c>
      <c r="E228" s="5" t="inlineStr">
        <is>
          <t>Informational</t>
        </is>
      </c>
      <c r="F228" s="5" t="inlineStr">
        <is>
          <t>Part/maintenance guide</t>
        </is>
      </c>
      <c r="G228" s="5" t="inlineStr">
        <is>
          <t>/maintenance/sprocket-motorcycle/</t>
        </is>
      </c>
      <c r="H228" s="6">
        <f>ROUND(MIN(100,LOG10(C228+1)*18+(10-D228)*2+IF(OR(E228="Commercial",E228="Informational / Transactional"),12,5)),0)</f>
        <v/>
      </c>
      <c r="I228" s="6">
        <f>IF(H228&gt;=85,"P1",IF(H228&gt;=70,"P2","P3"))</f>
        <v/>
      </c>
      <c r="J228" s="5" t="inlineStr">
        <is>
          <t>https://ahrefs.com/keywords-explorer</t>
        </is>
      </c>
    </row>
    <row r="229">
      <c r="A229" s="2" t="inlineStr">
        <is>
          <t>Maintenance &amp; Parts</t>
        </is>
      </c>
      <c r="B229" s="3" t="inlineStr">
        <is>
          <t>change oil motorcycle</t>
        </is>
      </c>
      <c r="C229" s="4" t="n">
        <v>700</v>
      </c>
      <c r="D229" s="3" t="n">
        <v>2</v>
      </c>
      <c r="E229" s="5" t="inlineStr">
        <is>
          <t>Commercial</t>
        </is>
      </c>
      <c r="F229" s="5" t="inlineStr">
        <is>
          <t>Part/maintenance guide</t>
        </is>
      </c>
      <c r="G229" s="5" t="inlineStr">
        <is>
          <t>/maintenance/change-oil-motorcycle/</t>
        </is>
      </c>
      <c r="H229" s="6">
        <f>ROUND(MIN(100,LOG10(C229+1)*18+(10-D229)*2+IF(OR(E229="Commercial",E229="Informational / Transactional"),12,5)),0)</f>
        <v/>
      </c>
      <c r="I229" s="6">
        <f>IF(H229&gt;=85,"P1",IF(H229&gt;=70,"P2","P3"))</f>
        <v/>
      </c>
      <c r="J229" s="5" t="inlineStr">
        <is>
          <t>https://ahrefs.com/keywords-explorer</t>
        </is>
      </c>
    </row>
    <row r="230">
      <c r="A230" s="2" t="inlineStr">
        <is>
          <t>Maintenance &amp; Parts</t>
        </is>
      </c>
      <c r="B230" s="3" t="inlineStr">
        <is>
          <t>cvt motorcycle</t>
        </is>
      </c>
      <c r="C230" s="4" t="n">
        <v>500</v>
      </c>
      <c r="D230" s="3" t="n">
        <v>0</v>
      </c>
      <c r="E230" s="5" t="inlineStr">
        <is>
          <t>Informational</t>
        </is>
      </c>
      <c r="F230" s="5" t="inlineStr">
        <is>
          <t>Part/maintenance guide</t>
        </is>
      </c>
      <c r="G230" s="5" t="inlineStr">
        <is>
          <t>/maintenance/cvt-motorcycle/</t>
        </is>
      </c>
      <c r="H230" s="6">
        <f>ROUND(MIN(100,LOG10(C230+1)*18+(10-D230)*2+IF(OR(E230="Commercial",E230="Informational / Transactional"),12,5)),0)</f>
        <v/>
      </c>
      <c r="I230" s="6">
        <f>IF(H230&gt;=85,"P1",IF(H230&gt;=70,"P2","P3"))</f>
        <v/>
      </c>
      <c r="J230" s="5" t="inlineStr">
        <is>
          <t>https://ahrefs.com/keywords-explorer</t>
        </is>
      </c>
    </row>
    <row r="231">
      <c r="A231" s="2" t="inlineStr">
        <is>
          <t>Maintenance &amp; Parts</t>
        </is>
      </c>
      <c r="B231" s="3" t="inlineStr">
        <is>
          <t>motorcycle oil</t>
        </is>
      </c>
      <c r="C231" s="4" t="n">
        <v>450</v>
      </c>
      <c r="D231" s="3" t="n">
        <v>0</v>
      </c>
      <c r="E231" s="5" t="inlineStr">
        <is>
          <t>Commercial</t>
        </is>
      </c>
      <c r="F231" s="5" t="inlineStr">
        <is>
          <t>Part/maintenance guide</t>
        </is>
      </c>
      <c r="G231" s="5" t="inlineStr">
        <is>
          <t>/maintenance/motorcycle-oil/</t>
        </is>
      </c>
      <c r="H231" s="6">
        <f>ROUND(MIN(100,LOG10(C231+1)*18+(10-D231)*2+IF(OR(E231="Commercial",E231="Informational / Transactional"),12,5)),0)</f>
        <v/>
      </c>
      <c r="I231" s="6">
        <f>IF(H231&gt;=85,"P1",IF(H231&gt;=70,"P2","P3"))</f>
        <v/>
      </c>
      <c r="J231" s="5" t="inlineStr">
        <is>
          <t>https://ahrefs.com/keywords-explorer</t>
        </is>
      </c>
    </row>
    <row r="232">
      <c r="A232" s="2" t="inlineStr">
        <is>
          <t>Maintenance &amp; Parts</t>
        </is>
      </c>
      <c r="B232" s="3" t="inlineStr">
        <is>
          <t>oil for motorcycle</t>
        </is>
      </c>
      <c r="C232" s="4" t="n">
        <v>400</v>
      </c>
      <c r="D232" s="3" t="n">
        <v>0</v>
      </c>
      <c r="E232" s="5" t="inlineStr">
        <is>
          <t>Commercial</t>
        </is>
      </c>
      <c r="F232" s="5" t="inlineStr">
        <is>
          <t>Part/maintenance guide</t>
        </is>
      </c>
      <c r="G232" s="5" t="inlineStr">
        <is>
          <t>/maintenance/oil-for-motorcycle/</t>
        </is>
      </c>
      <c r="H232" s="6">
        <f>ROUND(MIN(100,LOG10(C232+1)*18+(10-D232)*2+IF(OR(E232="Commercial",E232="Informational / Transactional"),12,5)),0)</f>
        <v/>
      </c>
      <c r="I232" s="6">
        <f>IF(H232&gt;=85,"P1",IF(H232&gt;=70,"P2","P3"))</f>
        <v/>
      </c>
      <c r="J232" s="5" t="inlineStr">
        <is>
          <t>https://ahrefs.com/keywords-explorer</t>
        </is>
      </c>
    </row>
    <row r="233">
      <c r="A233" s="2" t="inlineStr">
        <is>
          <t>Maintenance &amp; Parts</t>
        </is>
      </c>
      <c r="B233" s="3" t="inlineStr">
        <is>
          <t>air filter motorcycle</t>
        </is>
      </c>
      <c r="C233" s="4" t="n">
        <v>350</v>
      </c>
      <c r="D233" s="3" t="n">
        <v>0</v>
      </c>
      <c r="E233" s="5" t="inlineStr">
        <is>
          <t>Informational</t>
        </is>
      </c>
      <c r="F233" s="5" t="inlineStr">
        <is>
          <t>Part/maintenance guide</t>
        </is>
      </c>
      <c r="G233" s="5" t="inlineStr">
        <is>
          <t>/maintenance/air-filter-motorcycle/</t>
        </is>
      </c>
      <c r="H233" s="6">
        <f>ROUND(MIN(100,LOG10(C233+1)*18+(10-D233)*2+IF(OR(E233="Commercial",E233="Informational / Transactional"),12,5)),0)</f>
        <v/>
      </c>
      <c r="I233" s="6">
        <f>IF(H233&gt;=85,"P1",IF(H233&gt;=70,"P2","P3"))</f>
        <v/>
      </c>
      <c r="J233" s="5" t="inlineStr">
        <is>
          <t>https://ahrefs.com/keywords-explorer</t>
        </is>
      </c>
    </row>
    <row r="234">
      <c r="A234" s="2" t="inlineStr">
        <is>
          <t>Maintenance &amp; Parts</t>
        </is>
      </c>
      <c r="B234" s="3" t="inlineStr">
        <is>
          <t>motorcycle battery charger</t>
        </is>
      </c>
      <c r="C234" s="4" t="n">
        <v>350</v>
      </c>
      <c r="D234" s="3" t="n">
        <v>0</v>
      </c>
      <c r="E234" s="5" t="inlineStr">
        <is>
          <t>Commercial</t>
        </is>
      </c>
      <c r="F234" s="5" t="inlineStr">
        <is>
          <t>Part/maintenance guide</t>
        </is>
      </c>
      <c r="G234" s="5" t="inlineStr">
        <is>
          <t>/maintenance/motorcycle-battery-charger/</t>
        </is>
      </c>
      <c r="H234" s="6">
        <f>ROUND(MIN(100,LOG10(C234+1)*18+(10-D234)*2+IF(OR(E234="Commercial",E234="Informational / Transactional"),12,5)),0)</f>
        <v/>
      </c>
      <c r="I234" s="6">
        <f>IF(H234&gt;=85,"P1",IF(H234&gt;=70,"P2","P3"))</f>
        <v/>
      </c>
      <c r="J234" s="5" t="inlineStr">
        <is>
          <t>https://ahrefs.com/keywords-explorer</t>
        </is>
      </c>
    </row>
    <row r="235">
      <c r="A235" s="2" t="inlineStr">
        <is>
          <t>Maintenance &amp; Parts</t>
        </is>
      </c>
      <c r="B235" s="3" t="inlineStr">
        <is>
          <t>spark plug motorcycle</t>
        </is>
      </c>
      <c r="C235" s="4" t="n">
        <v>350</v>
      </c>
      <c r="D235" s="3" t="n">
        <v>0</v>
      </c>
      <c r="E235" s="5" t="inlineStr">
        <is>
          <t>Informational</t>
        </is>
      </c>
      <c r="F235" s="5" t="inlineStr">
        <is>
          <t>Part/maintenance guide</t>
        </is>
      </c>
      <c r="G235" s="5" t="inlineStr">
        <is>
          <t>/maintenance/spark-plug-motorcycle/</t>
        </is>
      </c>
      <c r="H235" s="6">
        <f>ROUND(MIN(100,LOG10(C235+1)*18+(10-D235)*2+IF(OR(E235="Commercial",E235="Informational / Transactional"),12,5)),0)</f>
        <v/>
      </c>
      <c r="I235" s="6">
        <f>IF(H235&gt;=85,"P1",IF(H235&gt;=70,"P2","P3"))</f>
        <v/>
      </c>
      <c r="J235" s="5" t="inlineStr">
        <is>
          <t>https://ahrefs.com/keywords-explorer</t>
        </is>
      </c>
    </row>
    <row r="236">
      <c r="A236" s="2" t="inlineStr">
        <is>
          <t>Maintenance &amp; Parts</t>
        </is>
      </c>
      <c r="B236" s="3" t="inlineStr">
        <is>
          <t>battery motorcycle</t>
        </is>
      </c>
      <c r="C236" s="4" t="n">
        <v>300</v>
      </c>
      <c r="D236" s="3" t="n">
        <v>0</v>
      </c>
      <c r="E236" s="5" t="inlineStr">
        <is>
          <t>Commercial</t>
        </is>
      </c>
      <c r="F236" s="5" t="inlineStr">
        <is>
          <t>Part/maintenance guide</t>
        </is>
      </c>
      <c r="G236" s="5" t="inlineStr">
        <is>
          <t>/maintenance/battery-motorcycle/</t>
        </is>
      </c>
      <c r="H236" s="6">
        <f>ROUND(MIN(100,LOG10(C236+1)*18+(10-D236)*2+IF(OR(E236="Commercial",E236="Informational / Transactional"),12,5)),0)</f>
        <v/>
      </c>
      <c r="I236" s="6">
        <f>IF(H236&gt;=85,"P1",IF(H236&gt;=70,"P2","P3"))</f>
        <v/>
      </c>
      <c r="J236" s="5" t="inlineStr">
        <is>
          <t>https://ahrefs.com/keywords-explorer</t>
        </is>
      </c>
    </row>
    <row r="237">
      <c r="A237" s="2" t="inlineStr">
        <is>
          <t>Maintenance &amp; Parts</t>
        </is>
      </c>
      <c r="B237" s="3" t="inlineStr">
        <is>
          <t>motorcycle battery price</t>
        </is>
      </c>
      <c r="C237" s="4" t="n">
        <v>300</v>
      </c>
      <c r="D237" s="3" t="n">
        <v>0</v>
      </c>
      <c r="E237" s="5" t="inlineStr">
        <is>
          <t>Commercial</t>
        </is>
      </c>
      <c r="F237" s="5" t="inlineStr">
        <is>
          <t>Part/maintenance guide</t>
        </is>
      </c>
      <c r="G237" s="5" t="inlineStr">
        <is>
          <t>/maintenance/motorcycle-battery-price/</t>
        </is>
      </c>
      <c r="H237" s="6">
        <f>ROUND(MIN(100,LOG10(C237+1)*18+(10-D237)*2+IF(OR(E237="Commercial",E237="Informational / Transactional"),12,5)),0)</f>
        <v/>
      </c>
      <c r="I237" s="6">
        <f>IF(H237&gt;=85,"P1",IF(H237&gt;=70,"P2","P3"))</f>
        <v/>
      </c>
      <c r="J237" s="5" t="inlineStr">
        <is>
          <t>https://ahrefs.com/keywords-explorer</t>
        </is>
      </c>
    </row>
    <row r="238">
      <c r="A238" s="2" t="inlineStr">
        <is>
          <t>Maintenance &amp; Parts</t>
        </is>
      </c>
      <c r="B238" s="3" t="inlineStr">
        <is>
          <t>battery for motorcycle</t>
        </is>
      </c>
      <c r="C238" s="4" t="n">
        <v>250</v>
      </c>
      <c r="D238" s="3" t="n">
        <v>0</v>
      </c>
      <c r="E238" s="5" t="inlineStr">
        <is>
          <t>Commercial</t>
        </is>
      </c>
      <c r="F238" s="5" t="inlineStr">
        <is>
          <t>Part/maintenance guide</t>
        </is>
      </c>
      <c r="G238" s="5" t="inlineStr">
        <is>
          <t>/maintenance/battery-for-motorcycle/</t>
        </is>
      </c>
      <c r="H238" s="6">
        <f>ROUND(MIN(100,LOG10(C238+1)*18+(10-D238)*2+IF(OR(E238="Commercial",E238="Informational / Transactional"),12,5)),0)</f>
        <v/>
      </c>
      <c r="I238" s="6">
        <f>IF(H238&gt;=85,"P1",IF(H238&gt;=70,"P2","P3"))</f>
        <v/>
      </c>
      <c r="J238" s="5" t="inlineStr">
        <is>
          <t>https://ahrefs.com/keywords-explorer</t>
        </is>
      </c>
    </row>
    <row r="239">
      <c r="A239" s="2" t="inlineStr">
        <is>
          <t>Maintenance &amp; Parts</t>
        </is>
      </c>
      <c r="B239" s="3" t="inlineStr">
        <is>
          <t>how many kilometers before change oil motorcycle</t>
        </is>
      </c>
      <c r="C239" s="4" t="n">
        <v>250</v>
      </c>
      <c r="D239" s="3" t="n">
        <v>0</v>
      </c>
      <c r="E239" s="5" t="inlineStr">
        <is>
          <t>Commercial</t>
        </is>
      </c>
      <c r="F239" s="5" t="inlineStr">
        <is>
          <t>Maintenance how-to</t>
        </is>
      </c>
      <c r="G239" s="5" t="inlineStr">
        <is>
          <t>/maintenance/how-many-kilometers-before-change-oil-motorcycle/</t>
        </is>
      </c>
      <c r="H239" s="6">
        <f>ROUND(MIN(100,LOG10(C239+1)*18+(10-D239)*2+IF(OR(E239="Commercial",E239="Informational / Transactional"),12,5)),0)</f>
        <v/>
      </c>
      <c r="I239" s="6">
        <f>IF(H239&gt;=85,"P1",IF(H239&gt;=70,"P2","P3"))</f>
        <v/>
      </c>
      <c r="J239" s="5" t="inlineStr">
        <is>
          <t>https://ahrefs.com/keywords-explorer</t>
        </is>
      </c>
    </row>
    <row r="240">
      <c r="A240" s="2" t="inlineStr">
        <is>
          <t>Maintenance &amp; Parts</t>
        </is>
      </c>
      <c r="B240" s="3" t="inlineStr">
        <is>
          <t>motorcycle chain</t>
        </is>
      </c>
      <c r="C240" s="4" t="n">
        <v>250</v>
      </c>
      <c r="D240" s="3" t="n">
        <v>0</v>
      </c>
      <c r="E240" s="5" t="inlineStr">
        <is>
          <t>Informational</t>
        </is>
      </c>
      <c r="F240" s="5" t="inlineStr">
        <is>
          <t>Part/maintenance guide</t>
        </is>
      </c>
      <c r="G240" s="5" t="inlineStr">
        <is>
          <t>/maintenance/motorcycle-chain/</t>
        </is>
      </c>
      <c r="H240" s="6">
        <f>ROUND(MIN(100,LOG10(C240+1)*18+(10-D240)*2+IF(OR(E240="Commercial",E240="Informational / Transactional"),12,5)),0)</f>
        <v/>
      </c>
      <c r="I240" s="6">
        <f>IF(H240&gt;=85,"P1",IF(H240&gt;=70,"P2","P3"))</f>
        <v/>
      </c>
      <c r="J240" s="5" t="inlineStr">
        <is>
          <t>https://ahrefs.com/keywords-explorer</t>
        </is>
      </c>
    </row>
    <row r="241">
      <c r="A241" s="2" t="inlineStr">
        <is>
          <t>Maintenance &amp; Parts</t>
        </is>
      </c>
      <c r="B241" s="3" t="inlineStr">
        <is>
          <t>when to change oil motorcycle</t>
        </is>
      </c>
      <c r="C241" s="4" t="n">
        <v>250</v>
      </c>
      <c r="D241" s="3" t="n">
        <v>0</v>
      </c>
      <c r="E241" s="5" t="inlineStr">
        <is>
          <t>Commercial</t>
        </is>
      </c>
      <c r="F241" s="5" t="inlineStr">
        <is>
          <t>Maintenance how-to</t>
        </is>
      </c>
      <c r="G241" s="5" t="inlineStr">
        <is>
          <t>/maintenance/when-to-change-oil-motorcycle/</t>
        </is>
      </c>
      <c r="H241" s="6">
        <f>ROUND(MIN(100,LOG10(C241+1)*18+(10-D241)*2+IF(OR(E241="Commercial",E241="Informational / Transactional"),12,5)),0)</f>
        <v/>
      </c>
      <c r="I241" s="6">
        <f>IF(H241&gt;=85,"P1",IF(H241&gt;=70,"P2","P3"))</f>
        <v/>
      </c>
      <c r="J241" s="5" t="inlineStr">
        <is>
          <t>https://ahrefs.com/keywords-explorer</t>
        </is>
      </c>
    </row>
    <row r="242">
      <c r="A242" s="2" t="inlineStr">
        <is>
          <t>Maintenance &amp; Parts</t>
        </is>
      </c>
      <c r="B242" s="3" t="inlineStr">
        <is>
          <t>battery charger for motorcycle</t>
        </is>
      </c>
      <c r="C242" s="4" t="n">
        <v>200</v>
      </c>
      <c r="D242" s="3" t="n">
        <v>0</v>
      </c>
      <c r="E242" s="5" t="inlineStr">
        <is>
          <t>Commercial</t>
        </is>
      </c>
      <c r="F242" s="5" t="inlineStr">
        <is>
          <t>Part/maintenance guide</t>
        </is>
      </c>
      <c r="G242" s="5" t="inlineStr">
        <is>
          <t>/maintenance/battery-charger-for-motorcycle/</t>
        </is>
      </c>
      <c r="H242" s="6">
        <f>ROUND(MIN(100,LOG10(C242+1)*18+(10-D242)*2+IF(OR(E242="Commercial",E242="Informational / Transactional"),12,5)),0)</f>
        <v/>
      </c>
      <c r="I242" s="6">
        <f>IF(H242&gt;=85,"P1",IF(H242&gt;=70,"P2","P3"))</f>
        <v/>
      </c>
      <c r="J242" s="5" t="inlineStr">
        <is>
          <t>https://ahrefs.com/keywords-explorer</t>
        </is>
      </c>
    </row>
    <row r="243">
      <c r="A243" s="2" t="inlineStr">
        <is>
          <t>Maintenance &amp; Parts</t>
        </is>
      </c>
      <c r="B243" s="3" t="inlineStr">
        <is>
          <t>10w40 motorcycle oil</t>
        </is>
      </c>
      <c r="C243" s="4" t="n">
        <v>150</v>
      </c>
      <c r="D243" s="3" t="n">
        <v>0</v>
      </c>
      <c r="E243" s="5" t="inlineStr">
        <is>
          <t>Commercial</t>
        </is>
      </c>
      <c r="F243" s="5" t="inlineStr">
        <is>
          <t>Part/maintenance guide</t>
        </is>
      </c>
      <c r="G243" s="5" t="inlineStr">
        <is>
          <t>/maintenance/10w40-motorcycle-oil/</t>
        </is>
      </c>
      <c r="H243" s="6">
        <f>ROUND(MIN(100,LOG10(C243+1)*18+(10-D243)*2+IF(OR(E243="Commercial",E243="Informational / Transactional"),12,5)),0)</f>
        <v/>
      </c>
      <c r="I243" s="6">
        <f>IF(H243&gt;=85,"P1",IF(H243&gt;=70,"P2","P3"))</f>
        <v/>
      </c>
      <c r="J243" s="5" t="inlineStr">
        <is>
          <t>https://ahrefs.com/keywords-explorer</t>
        </is>
      </c>
    </row>
    <row r="244">
      <c r="A244" s="2" t="inlineStr">
        <is>
          <t>Maintenance &amp; Parts</t>
        </is>
      </c>
      <c r="B244" s="3" t="inlineStr">
        <is>
          <t>20w50 motorcycle oil</t>
        </is>
      </c>
      <c r="C244" s="4" t="n">
        <v>150</v>
      </c>
      <c r="D244" s="3" t="n">
        <v>0</v>
      </c>
      <c r="E244" s="5" t="inlineStr">
        <is>
          <t>Commercial</t>
        </is>
      </c>
      <c r="F244" s="5" t="inlineStr">
        <is>
          <t>Part/maintenance guide</t>
        </is>
      </c>
      <c r="G244" s="5" t="inlineStr">
        <is>
          <t>/maintenance/20w50-motorcycle-oil/</t>
        </is>
      </c>
      <c r="H244" s="6">
        <f>ROUND(MIN(100,LOG10(C244+1)*18+(10-D244)*2+IF(OR(E244="Commercial",E244="Informational / Transactional"),12,5)),0)</f>
        <v/>
      </c>
      <c r="I244" s="6">
        <f>IF(H244&gt;=85,"P1",IF(H244&gt;=70,"P2","P3"))</f>
        <v/>
      </c>
      <c r="J244" s="5" t="inlineStr">
        <is>
          <t>https://ahrefs.com/keywords-explorer</t>
        </is>
      </c>
    </row>
    <row r="245">
      <c r="A245" s="2" t="inlineStr">
        <is>
          <t>Maintenance &amp; Parts</t>
        </is>
      </c>
      <c r="B245" s="3" t="inlineStr">
        <is>
          <t>brake pad motorcycle</t>
        </is>
      </c>
      <c r="C245" s="4" t="n">
        <v>150</v>
      </c>
      <c r="D245" s="3" t="n">
        <v>0</v>
      </c>
      <c r="E245" s="5" t="inlineStr">
        <is>
          <t>Informational</t>
        </is>
      </c>
      <c r="F245" s="5" t="inlineStr">
        <is>
          <t>Part/maintenance guide</t>
        </is>
      </c>
      <c r="G245" s="5" t="inlineStr">
        <is>
          <t>/maintenance/brake-pad-motorcycle/</t>
        </is>
      </c>
      <c r="H245" s="6">
        <f>ROUND(MIN(100,LOG10(C245+1)*18+(10-D245)*2+IF(OR(E245="Commercial",E245="Informational / Transactional"),12,5)),0)</f>
        <v/>
      </c>
      <c r="I245" s="6">
        <f>IF(H245&gt;=85,"P1",IF(H245&gt;=70,"P2","P3"))</f>
        <v/>
      </c>
      <c r="J245" s="5" t="inlineStr">
        <is>
          <t>https://ahrefs.com/keywords-explorer</t>
        </is>
      </c>
    </row>
    <row r="246">
      <c r="A246" s="2" t="inlineStr">
        <is>
          <t>Maintenance &amp; Parts</t>
        </is>
      </c>
      <c r="B246" s="3" t="inlineStr">
        <is>
          <t>castrol oil for motorcycle</t>
        </is>
      </c>
      <c r="C246" s="4" t="n">
        <v>150</v>
      </c>
      <c r="D246" s="3" t="n">
        <v>0</v>
      </c>
      <c r="E246" s="5" t="inlineStr">
        <is>
          <t>Commercial</t>
        </is>
      </c>
      <c r="F246" s="5" t="inlineStr">
        <is>
          <t>Part/maintenance guide</t>
        </is>
      </c>
      <c r="G246" s="5" t="inlineStr">
        <is>
          <t>/maintenance/castrol-oil-for-motorcycle/</t>
        </is>
      </c>
      <c r="H246" s="6">
        <f>ROUND(MIN(100,LOG10(C246+1)*18+(10-D246)*2+IF(OR(E246="Commercial",E246="Informational / Transactional"),12,5)),0)</f>
        <v/>
      </c>
      <c r="I246" s="6">
        <f>IF(H246&gt;=85,"P1",IF(H246&gt;=70,"P2","P3"))</f>
        <v/>
      </c>
      <c r="J246" s="5" t="inlineStr">
        <is>
          <t>https://ahrefs.com/keywords-explorer</t>
        </is>
      </c>
    </row>
    <row r="247">
      <c r="A247" s="2" t="inlineStr">
        <is>
          <t>Maintenance &amp; Parts</t>
        </is>
      </c>
      <c r="B247" s="3" t="inlineStr">
        <is>
          <t>chain lube for motorcycle</t>
        </is>
      </c>
      <c r="C247" s="4" t="n">
        <v>150</v>
      </c>
      <c r="D247" s="3" t="n">
        <v>0</v>
      </c>
      <c r="E247" s="5" t="inlineStr">
        <is>
          <t>Informational</t>
        </is>
      </c>
      <c r="F247" s="5" t="inlineStr">
        <is>
          <t>Part/maintenance guide</t>
        </is>
      </c>
      <c r="G247" s="5" t="inlineStr">
        <is>
          <t>/maintenance/chain-lube-for-motorcycle/</t>
        </is>
      </c>
      <c r="H247" s="6">
        <f>ROUND(MIN(100,LOG10(C247+1)*18+(10-D247)*2+IF(OR(E247="Commercial",E247="Informational / Transactional"),12,5)),0)</f>
        <v/>
      </c>
      <c r="I247" s="6">
        <f>IF(H247&gt;=85,"P1",IF(H247&gt;=70,"P2","P3"))</f>
        <v/>
      </c>
      <c r="J247" s="5" t="inlineStr">
        <is>
          <t>https://ahrefs.com/keywords-explorer</t>
        </is>
      </c>
    </row>
    <row r="248">
      <c r="A248" s="2" t="inlineStr">
        <is>
          <t>Maintenance &amp; Parts</t>
        </is>
      </c>
      <c r="B248" s="3" t="inlineStr">
        <is>
          <t>cvt in motorcycle</t>
        </is>
      </c>
      <c r="C248" s="4" t="n">
        <v>150</v>
      </c>
      <c r="D248" s="3" t="n">
        <v>1</v>
      </c>
      <c r="E248" s="5" t="inlineStr">
        <is>
          <t>Informational</t>
        </is>
      </c>
      <c r="F248" s="5" t="inlineStr">
        <is>
          <t>Part/maintenance guide</t>
        </is>
      </c>
      <c r="G248" s="5" t="inlineStr">
        <is>
          <t>/maintenance/cvt-in-motorcycle/</t>
        </is>
      </c>
      <c r="H248" s="6">
        <f>ROUND(MIN(100,LOG10(C248+1)*18+(10-D248)*2+IF(OR(E248="Commercial",E248="Informational / Transactional"),12,5)),0)</f>
        <v/>
      </c>
      <c r="I248" s="6">
        <f>IF(H248&gt;=85,"P1",IF(H248&gt;=70,"P2","P3"))</f>
        <v/>
      </c>
      <c r="J248" s="5" t="inlineStr">
        <is>
          <t>https://ahrefs.com/keywords-explorer</t>
        </is>
      </c>
    </row>
    <row r="249">
      <c r="A249" s="2" t="inlineStr">
        <is>
          <t>Maintenance &amp; Parts</t>
        </is>
      </c>
      <c r="B249" s="3" t="inlineStr">
        <is>
          <t>cvt meaning motorcycle</t>
        </is>
      </c>
      <c r="C249" s="4" t="n">
        <v>150</v>
      </c>
      <c r="D249" s="3" t="n">
        <v>0</v>
      </c>
      <c r="E249" s="5" t="inlineStr">
        <is>
          <t>Informational</t>
        </is>
      </c>
      <c r="F249" s="5" t="inlineStr">
        <is>
          <t>Part/maintenance guide</t>
        </is>
      </c>
      <c r="G249" s="5" t="inlineStr">
        <is>
          <t>/maintenance/cvt-meaning-motorcycle/</t>
        </is>
      </c>
      <c r="H249" s="6">
        <f>ROUND(MIN(100,LOG10(C249+1)*18+(10-D249)*2+IF(OR(E249="Commercial",E249="Informational / Transactional"),12,5)),0)</f>
        <v/>
      </c>
      <c r="I249" s="6">
        <f>IF(H249&gt;=85,"P1",IF(H249&gt;=70,"P2","P3"))</f>
        <v/>
      </c>
      <c r="J249" s="5" t="inlineStr">
        <is>
          <t>https://ahrefs.com/keywords-explorer</t>
        </is>
      </c>
    </row>
    <row r="250">
      <c r="A250" s="2" t="inlineStr">
        <is>
          <t>Maintenance &amp; Parts</t>
        </is>
      </c>
      <c r="B250" s="3" t="inlineStr">
        <is>
          <t>engine oil for motorcycle</t>
        </is>
      </c>
      <c r="C250" s="4" t="n">
        <v>150</v>
      </c>
      <c r="D250" s="3" t="n">
        <v>0</v>
      </c>
      <c r="E250" s="5" t="inlineStr">
        <is>
          <t>Commercial</t>
        </is>
      </c>
      <c r="F250" s="5" t="inlineStr">
        <is>
          <t>Part/maintenance guide</t>
        </is>
      </c>
      <c r="G250" s="5" t="inlineStr">
        <is>
          <t>/maintenance/engine-oil-for-motorcycle/</t>
        </is>
      </c>
      <c r="H250" s="6">
        <f>ROUND(MIN(100,LOG10(C250+1)*18+(10-D250)*2+IF(OR(E250="Commercial",E250="Informational / Transactional"),12,5)),0)</f>
        <v/>
      </c>
      <c r="I250" s="6">
        <f>IF(H250&gt;=85,"P1",IF(H250&gt;=70,"P2","P3"))</f>
        <v/>
      </c>
      <c r="J250" s="5" t="inlineStr">
        <is>
          <t>https://ahrefs.com/keywords-explorer</t>
        </is>
      </c>
    </row>
    <row r="251">
      <c r="A251" s="2" t="inlineStr">
        <is>
          <t>Maintenance &amp; Parts</t>
        </is>
      </c>
      <c r="B251" s="3" t="inlineStr">
        <is>
          <t>how to charge motorcycle battery</t>
        </is>
      </c>
      <c r="C251" s="4" t="n">
        <v>150</v>
      </c>
      <c r="D251" s="3" t="n">
        <v>0</v>
      </c>
      <c r="E251" s="5" t="inlineStr">
        <is>
          <t>Commercial</t>
        </is>
      </c>
      <c r="F251" s="5" t="inlineStr">
        <is>
          <t>Maintenance how-to</t>
        </is>
      </c>
      <c r="G251" s="5" t="inlineStr">
        <is>
          <t>/maintenance/how-to-charge-motorcycle-battery/</t>
        </is>
      </c>
      <c r="H251" s="6">
        <f>ROUND(MIN(100,LOG10(C251+1)*18+(10-D251)*2+IF(OR(E251="Commercial",E251="Informational / Transactional"),12,5)),0)</f>
        <v/>
      </c>
      <c r="I251" s="6">
        <f>IF(H251&gt;=85,"P1",IF(H251&gt;=70,"P2","P3"))</f>
        <v/>
      </c>
      <c r="J251" s="5" t="inlineStr">
        <is>
          <t>https://ahrefs.com/keywords-explorer</t>
        </is>
      </c>
    </row>
    <row r="252">
      <c r="A252" s="2" t="inlineStr">
        <is>
          <t>Maintenance &amp; Parts</t>
        </is>
      </c>
      <c r="B252" s="3" t="inlineStr">
        <is>
          <t>lithium battery for motorcycle</t>
        </is>
      </c>
      <c r="C252" s="4" t="n">
        <v>150</v>
      </c>
      <c r="D252" s="3" t="n">
        <v>0</v>
      </c>
      <c r="E252" s="5" t="inlineStr">
        <is>
          <t>Commercial</t>
        </is>
      </c>
      <c r="F252" s="5" t="inlineStr">
        <is>
          <t>Part/maintenance guide</t>
        </is>
      </c>
      <c r="G252" s="5" t="inlineStr">
        <is>
          <t>/maintenance/lithium-battery-for-motorcycle/</t>
        </is>
      </c>
      <c r="H252" s="6">
        <f>ROUND(MIN(100,LOG10(C252+1)*18+(10-D252)*2+IF(OR(E252="Commercial",E252="Informational / Transactional"),12,5)),0)</f>
        <v/>
      </c>
      <c r="I252" s="6">
        <f>IF(H252&gt;=85,"P1",IF(H252&gt;=70,"P2","P3"))</f>
        <v/>
      </c>
      <c r="J252" s="5" t="inlineStr">
        <is>
          <t>https://ahrefs.com/keywords-explorer</t>
        </is>
      </c>
    </row>
    <row r="253">
      <c r="A253" s="2" t="inlineStr">
        <is>
          <t>Maintenance &amp; Parts</t>
        </is>
      </c>
      <c r="B253" s="3" t="inlineStr">
        <is>
          <t>motolite battery for motorcycle</t>
        </is>
      </c>
      <c r="C253" s="4" t="n">
        <v>150</v>
      </c>
      <c r="D253" s="3" t="n">
        <v>0</v>
      </c>
      <c r="E253" s="5" t="inlineStr">
        <is>
          <t>Commercial</t>
        </is>
      </c>
      <c r="F253" s="5" t="inlineStr">
        <is>
          <t>Part/maintenance guide</t>
        </is>
      </c>
      <c r="G253" s="5" t="inlineStr">
        <is>
          <t>/maintenance/motolite-battery-for-motorcycle/</t>
        </is>
      </c>
      <c r="H253" s="6">
        <f>ROUND(MIN(100,LOG10(C253+1)*18+(10-D253)*2+IF(OR(E253="Commercial",E253="Informational / Transactional"),12,5)),0)</f>
        <v/>
      </c>
      <c r="I253" s="6">
        <f>IF(H253&gt;=85,"P1",IF(H253&gt;=70,"P2","P3"))</f>
        <v/>
      </c>
      <c r="J253" s="5" t="inlineStr">
        <is>
          <t>https://ahrefs.com/keywords-explorer</t>
        </is>
      </c>
    </row>
    <row r="254">
      <c r="A254" s="2" t="inlineStr">
        <is>
          <t>Maintenance &amp; Parts</t>
        </is>
      </c>
      <c r="B254" s="3" t="inlineStr">
        <is>
          <t>motolite motorcycle battery</t>
        </is>
      </c>
      <c r="C254" s="4" t="n">
        <v>150</v>
      </c>
      <c r="D254" s="3" t="n">
        <v>0</v>
      </c>
      <c r="E254" s="5" t="inlineStr">
        <is>
          <t>Commercial</t>
        </is>
      </c>
      <c r="F254" s="5" t="inlineStr">
        <is>
          <t>Part/maintenance guide</t>
        </is>
      </c>
      <c r="G254" s="5" t="inlineStr">
        <is>
          <t>/maintenance/motolite-motorcycle-battery/</t>
        </is>
      </c>
      <c r="H254" s="6">
        <f>ROUND(MIN(100,LOG10(C254+1)*18+(10-D254)*2+IF(OR(E254="Commercial",E254="Informational / Transactional"),12,5)),0)</f>
        <v/>
      </c>
      <c r="I254" s="6">
        <f>IF(H254&gt;=85,"P1",IF(H254&gt;=70,"P2","P3"))</f>
        <v/>
      </c>
      <c r="J254" s="5" t="inlineStr">
        <is>
          <t>https://ahrefs.com/keywords-explorer</t>
        </is>
      </c>
    </row>
    <row r="255">
      <c r="A255" s="2" t="inlineStr">
        <is>
          <t>Maintenance &amp; Parts</t>
        </is>
      </c>
      <c r="B255" s="3" t="inlineStr">
        <is>
          <t>motorcycle battery lifespan</t>
        </is>
      </c>
      <c r="C255" s="4" t="n">
        <v>150</v>
      </c>
      <c r="D255" s="3" t="n">
        <v>0</v>
      </c>
      <c r="E255" s="5" t="inlineStr">
        <is>
          <t>Commercial</t>
        </is>
      </c>
      <c r="F255" s="5" t="inlineStr">
        <is>
          <t>Maintenance how-to</t>
        </is>
      </c>
      <c r="G255" s="5" t="inlineStr">
        <is>
          <t>/maintenance/motorcycle-battery-lifespan/</t>
        </is>
      </c>
      <c r="H255" s="6">
        <f>ROUND(MIN(100,LOG10(C255+1)*18+(10-D255)*2+IF(OR(E255="Commercial",E255="Informational / Transactional"),12,5)),0)</f>
        <v/>
      </c>
      <c r="I255" s="6">
        <f>IF(H255&gt;=85,"P1",IF(H255&gt;=70,"P2","P3"))</f>
        <v/>
      </c>
      <c r="J255" s="5" t="inlineStr">
        <is>
          <t>https://ahrefs.com/keywords-explorer</t>
        </is>
      </c>
    </row>
    <row r="256">
      <c r="A256" s="2" t="inlineStr">
        <is>
          <t>Maintenance &amp; Parts</t>
        </is>
      </c>
      <c r="B256" s="3" t="inlineStr">
        <is>
          <t>motorcycle engine oil</t>
        </is>
      </c>
      <c r="C256" s="4" t="n">
        <v>150</v>
      </c>
      <c r="D256" s="3" t="n">
        <v>0</v>
      </c>
      <c r="E256" s="5" t="inlineStr">
        <is>
          <t>Commercial</t>
        </is>
      </c>
      <c r="F256" s="5" t="inlineStr">
        <is>
          <t>Part/maintenance guide</t>
        </is>
      </c>
      <c r="G256" s="5" t="inlineStr">
        <is>
          <t>/maintenance/motorcycle-engine-oil/</t>
        </is>
      </c>
      <c r="H256" s="6">
        <f>ROUND(MIN(100,LOG10(C256+1)*18+(10-D256)*2+IF(OR(E256="Commercial",E256="Informational / Transactional"),12,5)),0)</f>
        <v/>
      </c>
      <c r="I256" s="6">
        <f>IF(H256&gt;=85,"P1",IF(H256&gt;=70,"P2","P3"))</f>
        <v/>
      </c>
      <c r="J256" s="5" t="inlineStr">
        <is>
          <t>https://ahrefs.com/keywords-explorer</t>
        </is>
      </c>
    </row>
    <row r="257">
      <c r="A257" s="2" t="inlineStr">
        <is>
          <t>Maintenance &amp; Parts</t>
        </is>
      </c>
      <c r="B257" s="3" t="inlineStr">
        <is>
          <t>motorcycle maintenance</t>
        </is>
      </c>
      <c r="C257" s="4" t="n">
        <v>150</v>
      </c>
      <c r="D257" s="3" t="n">
        <v>2</v>
      </c>
      <c r="E257" s="5" t="inlineStr">
        <is>
          <t>Informational</t>
        </is>
      </c>
      <c r="F257" s="5" t="inlineStr">
        <is>
          <t>Part/maintenance guide</t>
        </is>
      </c>
      <c r="G257" s="5" t="inlineStr">
        <is>
          <t>/maintenance/motorcycle-maintenance/</t>
        </is>
      </c>
      <c r="H257" s="6">
        <f>ROUND(MIN(100,LOG10(C257+1)*18+(10-D257)*2+IF(OR(E257="Commercial",E257="Informational / Transactional"),12,5)),0)</f>
        <v/>
      </c>
      <c r="I257" s="6">
        <f>IF(H257&gt;=85,"P1",IF(H257&gt;=70,"P2","P3"))</f>
        <v/>
      </c>
      <c r="J257" s="5" t="inlineStr">
        <is>
          <t>https://ahrefs.com/keywords-explorer</t>
        </is>
      </c>
    </row>
    <row r="258">
      <c r="A258" s="2" t="inlineStr">
        <is>
          <t>Maintenance &amp; Parts</t>
        </is>
      </c>
      <c r="B258" s="3" t="inlineStr">
        <is>
          <t>shell motorcycle oil</t>
        </is>
      </c>
      <c r="C258" s="4" t="n">
        <v>150</v>
      </c>
      <c r="D258" s="3" t="n">
        <v>1</v>
      </c>
      <c r="E258" s="5" t="inlineStr">
        <is>
          <t>Commercial</t>
        </is>
      </c>
      <c r="F258" s="5" t="inlineStr">
        <is>
          <t>Part/maintenance guide</t>
        </is>
      </c>
      <c r="G258" s="5" t="inlineStr">
        <is>
          <t>/maintenance/shell-motorcycle-oil/</t>
        </is>
      </c>
      <c r="H258" s="6">
        <f>ROUND(MIN(100,LOG10(C258+1)*18+(10-D258)*2+IF(OR(E258="Commercial",E258="Informational / Transactional"),12,5)),0)</f>
        <v/>
      </c>
      <c r="I258" s="6">
        <f>IF(H258&gt;=85,"P1",IF(H258&gt;=70,"P2","P3"))</f>
        <v/>
      </c>
      <c r="J258" s="5" t="inlineStr">
        <is>
          <t>https://ahrefs.com/keywords-explorer</t>
        </is>
      </c>
    </row>
    <row r="259">
      <c r="A259" s="2" t="inlineStr">
        <is>
          <t>Maintenance &amp; Parts</t>
        </is>
      </c>
      <c r="B259" s="3" t="inlineStr">
        <is>
          <t>shell oil for motorcycle</t>
        </is>
      </c>
      <c r="C259" s="4" t="n">
        <v>150</v>
      </c>
      <c r="D259" s="3" t="n">
        <v>0</v>
      </c>
      <c r="E259" s="5" t="inlineStr">
        <is>
          <t>Commercial</t>
        </is>
      </c>
      <c r="F259" s="5" t="inlineStr">
        <is>
          <t>Part/maintenance guide</t>
        </is>
      </c>
      <c r="G259" s="5" t="inlineStr">
        <is>
          <t>/maintenance/shell-oil-for-motorcycle/</t>
        </is>
      </c>
      <c r="H259" s="6">
        <f>ROUND(MIN(100,LOG10(C259+1)*18+(10-D259)*2+IF(OR(E259="Commercial",E259="Informational / Transactional"),12,5)),0)</f>
        <v/>
      </c>
      <c r="I259" s="6">
        <f>IF(H259&gt;=85,"P1",IF(H259&gt;=70,"P2","P3"))</f>
        <v/>
      </c>
      <c r="J259" s="5" t="inlineStr">
        <is>
          <t>https://ahrefs.com/keywords-explorer</t>
        </is>
      </c>
    </row>
    <row r="260">
      <c r="A260" s="2" t="inlineStr">
        <is>
          <t>Maintenance &amp; Parts</t>
        </is>
      </c>
      <c r="B260" s="3" t="inlineStr">
        <is>
          <t>what is cvt in motorcycle</t>
        </is>
      </c>
      <c r="C260" s="4" t="n">
        <v>150</v>
      </c>
      <c r="D260" s="3" t="n">
        <v>0</v>
      </c>
      <c r="E260" s="5" t="inlineStr">
        <is>
          <t>Informational</t>
        </is>
      </c>
      <c r="F260" s="5" t="inlineStr">
        <is>
          <t>Part/maintenance guide</t>
        </is>
      </c>
      <c r="G260" s="5" t="inlineStr">
        <is>
          <t>/maintenance/what-is-cvt-in-motorcycle/</t>
        </is>
      </c>
      <c r="H260" s="6">
        <f>ROUND(MIN(100,LOG10(C260+1)*18+(10-D260)*2+IF(OR(E260="Commercial",E260="Informational / Transactional"),12,5)),0)</f>
        <v/>
      </c>
      <c r="I260" s="6">
        <f>IF(H260&gt;=85,"P1",IF(H260&gt;=70,"P2","P3"))</f>
        <v/>
      </c>
      <c r="J260" s="5" t="inlineStr">
        <is>
          <t>https://ahrefs.com/keywords-explorer</t>
        </is>
      </c>
    </row>
    <row r="261">
      <c r="A261" s="2" t="inlineStr">
        <is>
          <t>Maintenance &amp; Parts</t>
        </is>
      </c>
      <c r="B261" s="3" t="inlineStr">
        <is>
          <t>battery of motorcycle</t>
        </is>
      </c>
      <c r="C261" s="4" t="n">
        <v>100</v>
      </c>
      <c r="D261" s="3" t="n">
        <v>0</v>
      </c>
      <c r="E261" s="5" t="inlineStr">
        <is>
          <t>Commercial</t>
        </is>
      </c>
      <c r="F261" s="5" t="inlineStr">
        <is>
          <t>Part/maintenance guide</t>
        </is>
      </c>
      <c r="G261" s="5" t="inlineStr">
        <is>
          <t>/maintenance/battery-of-motorcycle/</t>
        </is>
      </c>
      <c r="H261" s="6">
        <f>ROUND(MIN(100,LOG10(C261+1)*18+(10-D261)*2+IF(OR(E261="Commercial",E261="Informational / Transactional"),12,5)),0)</f>
        <v/>
      </c>
      <c r="I261" s="6">
        <f>IF(H261&gt;=85,"P1",IF(H261&gt;=70,"P2","P3"))</f>
        <v/>
      </c>
      <c r="J261" s="5" t="inlineStr">
        <is>
          <t>https://ahrefs.com/keywords-explorer</t>
        </is>
      </c>
    </row>
    <row r="262">
      <c r="A262" s="2" t="inlineStr">
        <is>
          <t>Maintenance &amp; Parts</t>
        </is>
      </c>
      <c r="B262" s="3" t="inlineStr">
        <is>
          <t>battery tender for motorcycle</t>
        </is>
      </c>
      <c r="C262" s="4" t="n">
        <v>100</v>
      </c>
      <c r="D262" s="3" t="n">
        <v>2</v>
      </c>
      <c r="E262" s="5" t="inlineStr">
        <is>
          <t>Commercial</t>
        </is>
      </c>
      <c r="F262" s="5" t="inlineStr">
        <is>
          <t>Part/maintenance guide</t>
        </is>
      </c>
      <c r="G262" s="5" t="inlineStr">
        <is>
          <t>/maintenance/battery-tender-for-motorcycle/</t>
        </is>
      </c>
      <c r="H262" s="6">
        <f>ROUND(MIN(100,LOG10(C262+1)*18+(10-D262)*2+IF(OR(E262="Commercial",E262="Informational / Transactional"),12,5)),0)</f>
        <v/>
      </c>
      <c r="I262" s="6">
        <f>IF(H262&gt;=85,"P1",IF(H262&gt;=70,"P2","P3"))</f>
        <v/>
      </c>
      <c r="J262" s="5" t="inlineStr">
        <is>
          <t>https://ahrefs.com/keywords-explorer</t>
        </is>
      </c>
    </row>
    <row r="263">
      <c r="A263" s="2" t="inlineStr">
        <is>
          <t>Maintenance &amp; Parts</t>
        </is>
      </c>
      <c r="B263" s="3" t="inlineStr">
        <is>
          <t>change oil for motorcycle</t>
        </is>
      </c>
      <c r="C263" s="4" t="n">
        <v>100</v>
      </c>
      <c r="D263" s="3" t="n">
        <v>0</v>
      </c>
      <c r="E263" s="5" t="inlineStr">
        <is>
          <t>Commercial</t>
        </is>
      </c>
      <c r="F263" s="5" t="inlineStr">
        <is>
          <t>Part/maintenance guide</t>
        </is>
      </c>
      <c r="G263" s="5" t="inlineStr">
        <is>
          <t>/maintenance/change-oil-for-motorcycle/</t>
        </is>
      </c>
      <c r="H263" s="6">
        <f>ROUND(MIN(100,LOG10(C263+1)*18+(10-D263)*2+IF(OR(E263="Commercial",E263="Informational / Transactional"),12,5)),0)</f>
        <v/>
      </c>
      <c r="I263" s="6">
        <f>IF(H263&gt;=85,"P1",IF(H263&gt;=70,"P2","P3"))</f>
        <v/>
      </c>
      <c r="J263" s="5" t="inlineStr">
        <is>
          <t>https://ahrefs.com/keywords-explorer</t>
        </is>
      </c>
    </row>
    <row r="264">
      <c r="A264" s="2" t="inlineStr">
        <is>
          <t>Maintenance &amp; Parts</t>
        </is>
      </c>
      <c r="B264" s="3" t="inlineStr">
        <is>
          <t>how many months to change oil motorcycle</t>
        </is>
      </c>
      <c r="C264" s="4" t="n">
        <v>100</v>
      </c>
      <c r="D264" s="3" t="n">
        <v>0</v>
      </c>
      <c r="E264" s="5" t="inlineStr">
        <is>
          <t>Commercial</t>
        </is>
      </c>
      <c r="F264" s="5" t="inlineStr">
        <is>
          <t>Maintenance how-to</t>
        </is>
      </c>
      <c r="G264" s="5" t="inlineStr">
        <is>
          <t>/maintenance/how-many-months-to-change-oil-motorcycle/</t>
        </is>
      </c>
      <c r="H264" s="6">
        <f>ROUND(MIN(100,LOG10(C264+1)*18+(10-D264)*2+IF(OR(E264="Commercial",E264="Informational / Transactional"),12,5)),0)</f>
        <v/>
      </c>
      <c r="I264" s="6">
        <f>IF(H264&gt;=85,"P1",IF(H264&gt;=70,"P2","P3"))</f>
        <v/>
      </c>
      <c r="J264" s="5" t="inlineStr">
        <is>
          <t>https://ahrefs.com/keywords-explorer</t>
        </is>
      </c>
    </row>
    <row r="265">
      <c r="A265" s="2" t="inlineStr">
        <is>
          <t>Maintenance &amp; Parts</t>
        </is>
      </c>
      <c r="B265" s="3" t="inlineStr">
        <is>
          <t>motor oil for motorcycle</t>
        </is>
      </c>
      <c r="C265" s="4" t="n">
        <v>100</v>
      </c>
      <c r="D265" s="3" t="n">
        <v>2</v>
      </c>
      <c r="E265" s="5" t="inlineStr">
        <is>
          <t>Commercial</t>
        </is>
      </c>
      <c r="F265" s="5" t="inlineStr">
        <is>
          <t>Part/maintenance guide</t>
        </is>
      </c>
      <c r="G265" s="5" t="inlineStr">
        <is>
          <t>/maintenance/motor-oil-for-motorcycle/</t>
        </is>
      </c>
      <c r="H265" s="6">
        <f>ROUND(MIN(100,LOG10(C265+1)*18+(10-D265)*2+IF(OR(E265="Commercial",E265="Informational / Transactional"),12,5)),0)</f>
        <v/>
      </c>
      <c r="I265" s="6">
        <f>IF(H265&gt;=85,"P1",IF(H265&gt;=70,"P2","P3"))</f>
        <v/>
      </c>
      <c r="J265" s="5" t="inlineStr">
        <is>
          <t>https://ahrefs.com/keywords-explorer</t>
        </is>
      </c>
    </row>
    <row r="266">
      <c r="A266" s="2" t="inlineStr">
        <is>
          <t>Maintenance &amp; Parts</t>
        </is>
      </c>
      <c r="B266" s="3" t="inlineStr">
        <is>
          <t>motorcycle air filter</t>
        </is>
      </c>
      <c r="C266" s="4" t="n">
        <v>100</v>
      </c>
      <c r="D266" s="3" t="n">
        <v>0</v>
      </c>
      <c r="E266" s="5" t="inlineStr">
        <is>
          <t>Informational</t>
        </is>
      </c>
      <c r="F266" s="5" t="inlineStr">
        <is>
          <t>Part/maintenance guide</t>
        </is>
      </c>
      <c r="G266" s="5" t="inlineStr">
        <is>
          <t>/maintenance/motorcycle-air-filter/</t>
        </is>
      </c>
      <c r="H266" s="6">
        <f>ROUND(MIN(100,LOG10(C266+1)*18+(10-D266)*2+IF(OR(E266="Commercial",E266="Informational / Transactional"),12,5)),0)</f>
        <v/>
      </c>
      <c r="I266" s="6">
        <f>IF(H266&gt;=85,"P1",IF(H266&gt;=70,"P2","P3"))</f>
        <v/>
      </c>
      <c r="J266" s="5" t="inlineStr">
        <is>
          <t>https://ahrefs.com/keywords-explorer</t>
        </is>
      </c>
    </row>
    <row r="267">
      <c r="A267" s="2" t="inlineStr">
        <is>
          <t>Maintenance &amp; Parts</t>
        </is>
      </c>
      <c r="B267" s="3" t="inlineStr">
        <is>
          <t>motorcycle battery voltage</t>
        </is>
      </c>
      <c r="C267" s="4" t="n">
        <v>100</v>
      </c>
      <c r="D267" s="3" t="n">
        <v>0</v>
      </c>
      <c r="E267" s="5" t="inlineStr">
        <is>
          <t>Commercial</t>
        </is>
      </c>
      <c r="F267" s="5" t="inlineStr">
        <is>
          <t>Maintenance how-to</t>
        </is>
      </c>
      <c r="G267" s="5" t="inlineStr">
        <is>
          <t>/maintenance/motorcycle-battery-voltage/</t>
        </is>
      </c>
      <c r="H267" s="6">
        <f>ROUND(MIN(100,LOG10(C267+1)*18+(10-D267)*2+IF(OR(E267="Commercial",E267="Informational / Transactional"),12,5)),0)</f>
        <v/>
      </c>
      <c r="I267" s="6">
        <f>IF(H267&gt;=85,"P1",IF(H267&gt;=70,"P2","P3"))</f>
        <v/>
      </c>
      <c r="J267" s="5" t="inlineStr">
        <is>
          <t>https://ahrefs.com/keywords-explorer</t>
        </is>
      </c>
    </row>
    <row r="268">
      <c r="A268" s="2" t="inlineStr">
        <is>
          <t>Maintenance &amp; Parts</t>
        </is>
      </c>
      <c r="B268" s="3" t="inlineStr">
        <is>
          <t>motorcycle change oil</t>
        </is>
      </c>
      <c r="C268" s="4" t="n">
        <v>100</v>
      </c>
      <c r="D268" s="3" t="n">
        <v>0</v>
      </c>
      <c r="E268" s="5" t="inlineStr">
        <is>
          <t>Commercial</t>
        </is>
      </c>
      <c r="F268" s="5" t="inlineStr">
        <is>
          <t>Part/maintenance guide</t>
        </is>
      </c>
      <c r="G268" s="5" t="inlineStr">
        <is>
          <t>/maintenance/motorcycle-change-oil/</t>
        </is>
      </c>
      <c r="H268" s="6">
        <f>ROUND(MIN(100,LOG10(C268+1)*18+(10-D268)*2+IF(OR(E268="Commercial",E268="Informational / Transactional"),12,5)),0)</f>
        <v/>
      </c>
      <c r="I268" s="6">
        <f>IF(H268&gt;=85,"P1",IF(H268&gt;=70,"P2","P3"))</f>
        <v/>
      </c>
      <c r="J268" s="5" t="inlineStr">
        <is>
          <t>https://ahrefs.com/keywords-explorer</t>
        </is>
      </c>
    </row>
    <row r="269">
      <c r="A269" s="2" t="inlineStr">
        <is>
          <t>Maintenance &amp; Parts</t>
        </is>
      </c>
      <c r="B269" s="3" t="inlineStr">
        <is>
          <t>motorcycle oil change</t>
        </is>
      </c>
      <c r="C269" s="4" t="n">
        <v>100</v>
      </c>
      <c r="D269" s="3" t="n">
        <v>0</v>
      </c>
      <c r="E269" s="5" t="inlineStr">
        <is>
          <t>Commercial</t>
        </is>
      </c>
      <c r="F269" s="5" t="inlineStr">
        <is>
          <t>Part/maintenance guide</t>
        </is>
      </c>
      <c r="G269" s="5" t="inlineStr">
        <is>
          <t>/maintenance/motorcycle-oil-change/</t>
        </is>
      </c>
      <c r="H269" s="6">
        <f>ROUND(MIN(100,LOG10(C269+1)*18+(10-D269)*2+IF(OR(E269="Commercial",E269="Informational / Transactional"),12,5)),0)</f>
        <v/>
      </c>
      <c r="I269" s="6">
        <f>IF(H269&gt;=85,"P1",IF(H269&gt;=70,"P2","P3"))</f>
        <v/>
      </c>
      <c r="J269" s="5" t="inlineStr">
        <is>
          <t>https://ahrefs.com/keywords-explorer</t>
        </is>
      </c>
    </row>
    <row r="270">
      <c r="A270" s="2" t="inlineStr">
        <is>
          <t>Maintenance &amp; Parts</t>
        </is>
      </c>
      <c r="B270" s="3" t="inlineStr">
        <is>
          <t>motorcycle oil filter</t>
        </is>
      </c>
      <c r="C270" s="4" t="n">
        <v>100</v>
      </c>
      <c r="D270" s="3" t="n">
        <v>0</v>
      </c>
      <c r="E270" s="5" t="inlineStr">
        <is>
          <t>Commercial</t>
        </is>
      </c>
      <c r="F270" s="5" t="inlineStr">
        <is>
          <t>Part/maintenance guide</t>
        </is>
      </c>
      <c r="G270" s="5" t="inlineStr">
        <is>
          <t>/maintenance/motorcycle-oil-filter/</t>
        </is>
      </c>
      <c r="H270" s="6">
        <f>ROUND(MIN(100,LOG10(C270+1)*18+(10-D270)*2+IF(OR(E270="Commercial",E270="Informational / Transactional"),12,5)),0)</f>
        <v/>
      </c>
      <c r="I270" s="6">
        <f>IF(H270&gt;=85,"P1",IF(H270&gt;=70,"P2","P3"))</f>
        <v/>
      </c>
      <c r="J270" s="5" t="inlineStr">
        <is>
          <t>https://ahrefs.com/keywords-explorer</t>
        </is>
      </c>
    </row>
    <row r="271">
      <c r="A271" s="2" t="inlineStr">
        <is>
          <t>Maintenance &amp; Parts</t>
        </is>
      </c>
      <c r="B271" s="3" t="inlineStr">
        <is>
          <t>motorcycle spark plug</t>
        </is>
      </c>
      <c r="C271" s="4" t="n">
        <v>100</v>
      </c>
      <c r="D271" s="3" t="n">
        <v>0</v>
      </c>
      <c r="E271" s="5" t="inlineStr">
        <is>
          <t>Informational</t>
        </is>
      </c>
      <c r="F271" s="5" t="inlineStr">
        <is>
          <t>Part/maintenance guide</t>
        </is>
      </c>
      <c r="G271" s="5" t="inlineStr">
        <is>
          <t>/maintenance/motorcycle-spark-plug/</t>
        </is>
      </c>
      <c r="H271" s="6">
        <f>ROUND(MIN(100,LOG10(C271+1)*18+(10-D271)*2+IF(OR(E271="Commercial",E271="Informational / Transactional"),12,5)),0)</f>
        <v/>
      </c>
      <c r="I271" s="6">
        <f>IF(H271&gt;=85,"P1",IF(H271&gt;=70,"P2","P3"))</f>
        <v/>
      </c>
      <c r="J271" s="5" t="inlineStr">
        <is>
          <t>https://ahrefs.com/keywords-explorer</t>
        </is>
      </c>
    </row>
    <row r="272">
      <c r="A272" s="2" t="inlineStr">
        <is>
          <t>Maintenance &amp; Parts</t>
        </is>
      </c>
      <c r="B272" s="3" t="inlineStr">
        <is>
          <t>motorcycle sprocket</t>
        </is>
      </c>
      <c r="C272" s="4" t="n">
        <v>100</v>
      </c>
      <c r="D272" s="3" t="n">
        <v>0</v>
      </c>
      <c r="E272" s="5" t="inlineStr">
        <is>
          <t>Informational</t>
        </is>
      </c>
      <c r="F272" s="5" t="inlineStr">
        <is>
          <t>Part/maintenance guide</t>
        </is>
      </c>
      <c r="G272" s="5" t="inlineStr">
        <is>
          <t>/maintenance/motorcycle-sprocket/</t>
        </is>
      </c>
      <c r="H272" s="6">
        <f>ROUND(MIN(100,LOG10(C272+1)*18+(10-D272)*2+IF(OR(E272="Commercial",E272="Informational / Transactional"),12,5)),0)</f>
        <v/>
      </c>
      <c r="I272" s="6">
        <f>IF(H272&gt;=85,"P1",IF(H272&gt;=70,"P2","P3"))</f>
        <v/>
      </c>
      <c r="J272" s="5" t="inlineStr">
        <is>
          <t>https://ahrefs.com/keywords-explorer</t>
        </is>
      </c>
    </row>
    <row r="273">
      <c r="A273" s="2" t="inlineStr">
        <is>
          <t>Maintenance &amp; Parts</t>
        </is>
      </c>
      <c r="B273" s="3" t="inlineStr">
        <is>
          <t>oil filter motorcycle</t>
        </is>
      </c>
      <c r="C273" s="4" t="n">
        <v>100</v>
      </c>
      <c r="D273" s="3" t="n">
        <v>0</v>
      </c>
      <c r="E273" s="5" t="inlineStr">
        <is>
          <t>Commercial</t>
        </is>
      </c>
      <c r="F273" s="5" t="inlineStr">
        <is>
          <t>Part/maintenance guide</t>
        </is>
      </c>
      <c r="G273" s="5" t="inlineStr">
        <is>
          <t>/maintenance/oil-filter-motorcycle/</t>
        </is>
      </c>
      <c r="H273" s="6">
        <f>ROUND(MIN(100,LOG10(C273+1)*18+(10-D273)*2+IF(OR(E273="Commercial",E273="Informational / Transactional"),12,5)),0)</f>
        <v/>
      </c>
      <c r="I273" s="6">
        <f>IF(H273&gt;=85,"P1",IF(H273&gt;=70,"P2","P3"))</f>
        <v/>
      </c>
      <c r="J273" s="5" t="inlineStr">
        <is>
          <t>https://ahrefs.com/keywords-explorer</t>
        </is>
      </c>
    </row>
    <row r="274">
      <c r="A274" s="2" t="inlineStr">
        <is>
          <t>Maintenance &amp; Parts</t>
        </is>
      </c>
      <c r="B274" s="3" t="inlineStr">
        <is>
          <t>oil seal motorcycle</t>
        </is>
      </c>
      <c r="C274" s="4" t="n">
        <v>100</v>
      </c>
      <c r="D274" s="3" t="n">
        <v>0</v>
      </c>
      <c r="E274" s="5" t="inlineStr">
        <is>
          <t>Commercial</t>
        </is>
      </c>
      <c r="F274" s="5" t="inlineStr">
        <is>
          <t>Part/maintenance guide</t>
        </is>
      </c>
      <c r="G274" s="5" t="inlineStr">
        <is>
          <t>/maintenance/oil-seal-motorcycle/</t>
        </is>
      </c>
      <c r="H274" s="6">
        <f>ROUND(MIN(100,LOG10(C274+1)*18+(10-D274)*2+IF(OR(E274="Commercial",E274="Informational / Transactional"),12,5)),0)</f>
        <v/>
      </c>
      <c r="I274" s="6">
        <f>IF(H274&gt;=85,"P1",IF(H274&gt;=70,"P2","P3"))</f>
        <v/>
      </c>
      <c r="J274" s="5" t="inlineStr">
        <is>
          <t>https://ahrefs.com/keywords-explorer</t>
        </is>
      </c>
    </row>
    <row r="275">
      <c r="A275" s="2" t="inlineStr">
        <is>
          <t>Maintenance &amp; Parts</t>
        </is>
      </c>
      <c r="B275" s="3" t="inlineStr">
        <is>
          <t>amaron battery for motorcycle</t>
        </is>
      </c>
      <c r="C275" s="4" t="n">
        <v>90</v>
      </c>
      <c r="D275" s="3" t="n">
        <v>0</v>
      </c>
      <c r="E275" s="5" t="inlineStr">
        <is>
          <t>Commercial</t>
        </is>
      </c>
      <c r="F275" s="5" t="inlineStr">
        <is>
          <t>Part/maintenance guide</t>
        </is>
      </c>
      <c r="G275" s="5" t="inlineStr">
        <is>
          <t>/maintenance/amaron-battery-for-motorcycle/</t>
        </is>
      </c>
      <c r="H275" s="6">
        <f>ROUND(MIN(100,LOG10(C275+1)*18+(10-D275)*2+IF(OR(E275="Commercial",E275="Informational / Transactional"),12,5)),0)</f>
        <v/>
      </c>
      <c r="I275" s="6">
        <f>IF(H275&gt;=85,"P1",IF(H275&gt;=70,"P2","P3"))</f>
        <v/>
      </c>
      <c r="J275" s="5" t="inlineStr">
        <is>
          <t>https://ahrefs.com/keywords-explorer</t>
        </is>
      </c>
    </row>
    <row r="276">
      <c r="A276" s="2" t="inlineStr">
        <is>
          <t>Maintenance &amp; Parts</t>
        </is>
      </c>
      <c r="B276" s="3" t="inlineStr">
        <is>
          <t>amaron motorcycle battery</t>
        </is>
      </c>
      <c r="C276" s="4" t="n">
        <v>90</v>
      </c>
      <c r="D276" s="3" t="n">
        <v>0</v>
      </c>
      <c r="E276" s="5" t="inlineStr">
        <is>
          <t>Commercial</t>
        </is>
      </c>
      <c r="F276" s="5" t="inlineStr">
        <is>
          <t>Part/maintenance guide</t>
        </is>
      </c>
      <c r="G276" s="5" t="inlineStr">
        <is>
          <t>/maintenance/amaron-motorcycle-battery/</t>
        </is>
      </c>
      <c r="H276" s="6">
        <f>ROUND(MIN(100,LOG10(C276+1)*18+(10-D276)*2+IF(OR(E276="Commercial",E276="Informational / Transactional"),12,5)),0)</f>
        <v/>
      </c>
      <c r="I276" s="6">
        <f>IF(H276&gt;=85,"P1",IF(H276&gt;=70,"P2","P3"))</f>
        <v/>
      </c>
      <c r="J276" s="5" t="inlineStr">
        <is>
          <t>https://ahrefs.com/keywords-explorer</t>
        </is>
      </c>
    </row>
    <row r="277">
      <c r="A277" s="2" t="inlineStr">
        <is>
          <t>Maintenance &amp; Parts</t>
        </is>
      </c>
      <c r="B277" s="3" t="inlineStr">
        <is>
          <t>chain guard motorcycle</t>
        </is>
      </c>
      <c r="C277" s="4" t="n">
        <v>90</v>
      </c>
      <c r="D277" s="3" t="n">
        <v>0</v>
      </c>
      <c r="E277" s="5" t="inlineStr">
        <is>
          <t>Informational</t>
        </is>
      </c>
      <c r="F277" s="5" t="inlineStr">
        <is>
          <t>Part/maintenance guide</t>
        </is>
      </c>
      <c r="G277" s="5" t="inlineStr">
        <is>
          <t>/maintenance/chain-guard-motorcycle/</t>
        </is>
      </c>
      <c r="H277" s="6">
        <f>ROUND(MIN(100,LOG10(C277+1)*18+(10-D277)*2+IF(OR(E277="Commercial",E277="Informational / Transactional"),12,5)),0)</f>
        <v/>
      </c>
      <c r="I277" s="6">
        <f>IF(H277&gt;=85,"P1",IF(H277&gt;=70,"P2","P3"))</f>
        <v/>
      </c>
      <c r="J277" s="5" t="inlineStr">
        <is>
          <t>https://ahrefs.com/keywords-explorer</t>
        </is>
      </c>
    </row>
    <row r="278">
      <c r="A278" s="2" t="inlineStr">
        <is>
          <t>Maintenance &amp; Parts</t>
        </is>
      </c>
      <c r="B278" s="3" t="inlineStr">
        <is>
          <t>fork oil motorcycle</t>
        </is>
      </c>
      <c r="C278" s="4" t="n">
        <v>90</v>
      </c>
      <c r="D278" s="3" t="n">
        <v>0</v>
      </c>
      <c r="E278" s="5" t="inlineStr">
        <is>
          <t>Commercial</t>
        </is>
      </c>
      <c r="F278" s="5" t="inlineStr">
        <is>
          <t>Part/maintenance guide</t>
        </is>
      </c>
      <c r="G278" s="5" t="inlineStr">
        <is>
          <t>/maintenance/fork-oil-motorcycle/</t>
        </is>
      </c>
      <c r="H278" s="6">
        <f>ROUND(MIN(100,LOG10(C278+1)*18+(10-D278)*2+IF(OR(E278="Commercial",E278="Informational / Transactional"),12,5)),0)</f>
        <v/>
      </c>
      <c r="I278" s="6">
        <f>IF(H278&gt;=85,"P1",IF(H278&gt;=70,"P2","P3"))</f>
        <v/>
      </c>
      <c r="J278" s="5" t="inlineStr">
        <is>
          <t>https://ahrefs.com/keywords-explorer</t>
        </is>
      </c>
    </row>
    <row r="279">
      <c r="A279" s="2" t="inlineStr">
        <is>
          <t>Maintenance &amp; Parts</t>
        </is>
      </c>
      <c r="B279" s="3" t="inlineStr">
        <is>
          <t>fully synthetic oil for motorcycle</t>
        </is>
      </c>
      <c r="C279" s="4" t="n">
        <v>90</v>
      </c>
      <c r="D279" s="3" t="n">
        <v>0</v>
      </c>
      <c r="E279" s="5" t="inlineStr">
        <is>
          <t>Commercial</t>
        </is>
      </c>
      <c r="F279" s="5" t="inlineStr">
        <is>
          <t>Part/maintenance guide</t>
        </is>
      </c>
      <c r="G279" s="5" t="inlineStr">
        <is>
          <t>/maintenance/fully-synthetic-oil-for-motorcycle/</t>
        </is>
      </c>
      <c r="H279" s="6">
        <f>ROUND(MIN(100,LOG10(C279+1)*18+(10-D279)*2+IF(OR(E279="Commercial",E279="Informational / Transactional"),12,5)),0)</f>
        <v/>
      </c>
      <c r="I279" s="6">
        <f>IF(H279&gt;=85,"P1",IF(H279&gt;=70,"P2","P3"))</f>
        <v/>
      </c>
      <c r="J279" s="5" t="inlineStr">
        <is>
          <t>https://ahrefs.com/keywords-explorer</t>
        </is>
      </c>
    </row>
    <row r="280">
      <c r="A280" s="2" t="inlineStr">
        <is>
          <t>Maintenance &amp; Parts</t>
        </is>
      </c>
      <c r="B280" s="3" t="inlineStr">
        <is>
          <t>motorcycle maintenance checklist</t>
        </is>
      </c>
      <c r="C280" s="4" t="n">
        <v>90</v>
      </c>
      <c r="D280" s="3" t="n">
        <v>1</v>
      </c>
      <c r="E280" s="5" t="inlineStr">
        <is>
          <t>Informational</t>
        </is>
      </c>
      <c r="F280" s="5" t="inlineStr">
        <is>
          <t>Part/maintenance guide</t>
        </is>
      </c>
      <c r="G280" s="5" t="inlineStr">
        <is>
          <t>/maintenance/motorcycle-maintenance-checklist/</t>
        </is>
      </c>
      <c r="H280" s="6">
        <f>ROUND(MIN(100,LOG10(C280+1)*18+(10-D280)*2+IF(OR(E280="Commercial",E280="Informational / Transactional"),12,5)),0)</f>
        <v/>
      </c>
      <c r="I280" s="6">
        <f>IF(H280&gt;=85,"P1",IF(H280&gt;=70,"P2","P3"))</f>
        <v/>
      </c>
      <c r="J280" s="5" t="inlineStr">
        <is>
          <t>https://ahrefs.com/keywords-explorer</t>
        </is>
      </c>
    </row>
    <row r="281">
      <c r="A281" s="2" t="inlineStr">
        <is>
          <t>Maintenance &amp; Parts</t>
        </is>
      </c>
      <c r="B281" s="3" t="inlineStr">
        <is>
          <t>motul motorcycle oil</t>
        </is>
      </c>
      <c r="C281" s="4" t="n">
        <v>90</v>
      </c>
      <c r="D281" s="3" t="n">
        <v>2</v>
      </c>
      <c r="E281" s="5" t="inlineStr">
        <is>
          <t>Commercial</t>
        </is>
      </c>
      <c r="F281" s="5" t="inlineStr">
        <is>
          <t>Part/maintenance guide</t>
        </is>
      </c>
      <c r="G281" s="5" t="inlineStr">
        <is>
          <t>/maintenance/motul-motorcycle-oil/</t>
        </is>
      </c>
      <c r="H281" s="6">
        <f>ROUND(MIN(100,LOG10(C281+1)*18+(10-D281)*2+IF(OR(E281="Commercial",E281="Informational / Transactional"),12,5)),0)</f>
        <v/>
      </c>
      <c r="I281" s="6">
        <f>IF(H281&gt;=85,"P1",IF(H281&gt;=70,"P2","P3"))</f>
        <v/>
      </c>
      <c r="J281" s="5" t="inlineStr">
        <is>
          <t>https://ahrefs.com/keywords-explorer</t>
        </is>
      </c>
    </row>
    <row r="282">
      <c r="A282" s="2" t="inlineStr">
        <is>
          <t>Maintenance &amp; Parts</t>
        </is>
      </c>
      <c r="B282" s="3" t="inlineStr">
        <is>
          <t>oil motorcycle</t>
        </is>
      </c>
      <c r="C282" s="4" t="n">
        <v>90</v>
      </c>
      <c r="D282" s="3" t="n">
        <v>0</v>
      </c>
      <c r="E282" s="5" t="inlineStr">
        <is>
          <t>Commercial</t>
        </is>
      </c>
      <c r="F282" s="5" t="inlineStr">
        <is>
          <t>Part/maintenance guide</t>
        </is>
      </c>
      <c r="G282" s="5" t="inlineStr">
        <is>
          <t>/maintenance/oil-motorcycle/</t>
        </is>
      </c>
      <c r="H282" s="6">
        <f>ROUND(MIN(100,LOG10(C282+1)*18+(10-D282)*2+IF(OR(E282="Commercial",E282="Informational / Transactional"),12,5)),0)</f>
        <v/>
      </c>
      <c r="I282" s="6">
        <f>IF(H282&gt;=85,"P1",IF(H282&gt;=70,"P2","P3"))</f>
        <v/>
      </c>
      <c r="J282" s="5" t="inlineStr">
        <is>
          <t>https://ahrefs.com/keywords-explorer</t>
        </is>
      </c>
    </row>
    <row r="283">
      <c r="A283" s="2" t="inlineStr">
        <is>
          <t>Maintenance &amp; Parts</t>
        </is>
      </c>
      <c r="B283" s="3" t="inlineStr">
        <is>
          <t>synthetic oil for motorcycle</t>
        </is>
      </c>
      <c r="C283" s="4" t="n">
        <v>90</v>
      </c>
      <c r="D283" s="3" t="n">
        <v>0</v>
      </c>
      <c r="E283" s="5" t="inlineStr">
        <is>
          <t>Commercial</t>
        </is>
      </c>
      <c r="F283" s="5" t="inlineStr">
        <is>
          <t>Part/maintenance guide</t>
        </is>
      </c>
      <c r="G283" s="5" t="inlineStr">
        <is>
          <t>/maintenance/synthetic-oil-for-motorcycle/</t>
        </is>
      </c>
      <c r="H283" s="6">
        <f>ROUND(MIN(100,LOG10(C283+1)*18+(10-D283)*2+IF(OR(E283="Commercial",E283="Informational / Transactional"),12,5)),0)</f>
        <v/>
      </c>
      <c r="I283" s="6">
        <f>IF(H283&gt;=85,"P1",IF(H283&gt;=70,"P2","P3"))</f>
        <v/>
      </c>
      <c r="J283" s="5" t="inlineStr">
        <is>
          <t>https://ahrefs.com/keywords-explorer</t>
        </is>
      </c>
    </row>
    <row r="284">
      <c r="A284" s="2" t="inlineStr">
        <is>
          <t>Maintenance &amp; Parts</t>
        </is>
      </c>
      <c r="B284" s="3" t="inlineStr">
        <is>
          <t>10w30 motorcycle oil</t>
        </is>
      </c>
      <c r="C284" s="4" t="n">
        <v>80</v>
      </c>
      <c r="D284" s="3" t="n">
        <v>0</v>
      </c>
      <c r="E284" s="5" t="inlineStr">
        <is>
          <t>Commercial</t>
        </is>
      </c>
      <c r="F284" s="5" t="inlineStr">
        <is>
          <t>Part/maintenance guide</t>
        </is>
      </c>
      <c r="G284" s="5" t="inlineStr">
        <is>
          <t>/maintenance/10w30-motorcycle-oil/</t>
        </is>
      </c>
      <c r="H284" s="6">
        <f>ROUND(MIN(100,LOG10(C284+1)*18+(10-D284)*2+IF(OR(E284="Commercial",E284="Informational / Transactional"),12,5)),0)</f>
        <v/>
      </c>
      <c r="I284" s="6">
        <f>IF(H284&gt;=85,"P1",IF(H284&gt;=70,"P2","P3"))</f>
        <v/>
      </c>
      <c r="J284" s="5" t="inlineStr">
        <is>
          <t>https://ahrefs.com/keywords-explorer</t>
        </is>
      </c>
    </row>
    <row r="285">
      <c r="A285" s="2" t="inlineStr">
        <is>
          <t>Maintenance &amp; Parts</t>
        </is>
      </c>
      <c r="B285" s="3" t="inlineStr">
        <is>
          <t>gear oil for motorcycle</t>
        </is>
      </c>
      <c r="C285" s="4" t="n">
        <v>80</v>
      </c>
      <c r="D285" s="3" t="n">
        <v>0</v>
      </c>
      <c r="E285" s="5" t="inlineStr">
        <is>
          <t>Commercial</t>
        </is>
      </c>
      <c r="F285" s="5" t="inlineStr">
        <is>
          <t>Part/maintenance guide</t>
        </is>
      </c>
      <c r="G285" s="5" t="inlineStr">
        <is>
          <t>/maintenance/gear-oil-for-motorcycle/</t>
        </is>
      </c>
      <c r="H285" s="6">
        <f>ROUND(MIN(100,LOG10(C285+1)*18+(10-D285)*2+IF(OR(E285="Commercial",E285="Informational / Transactional"),12,5)),0)</f>
        <v/>
      </c>
      <c r="I285" s="6">
        <f>IF(H285&gt;=85,"P1",IF(H285&gt;=70,"P2","P3"))</f>
        <v/>
      </c>
      <c r="J285" s="5" t="inlineStr">
        <is>
          <t>https://ahrefs.com/keywords-explorer</t>
        </is>
      </c>
    </row>
    <row r="286">
      <c r="A286" s="2" t="inlineStr">
        <is>
          <t>Maintenance &amp; Parts</t>
        </is>
      </c>
      <c r="B286" s="3" t="inlineStr">
        <is>
          <t>how many hours to charge motorcycle battery</t>
        </is>
      </c>
      <c r="C286" s="4" t="n">
        <v>80</v>
      </c>
      <c r="D286" s="3" t="n">
        <v>0</v>
      </c>
      <c r="E286" s="5" t="inlineStr">
        <is>
          <t>Commercial</t>
        </is>
      </c>
      <c r="F286" s="5" t="inlineStr">
        <is>
          <t>Maintenance how-to</t>
        </is>
      </c>
      <c r="G286" s="5" t="inlineStr">
        <is>
          <t>/maintenance/how-many-hours-to-charge-motorcycle-battery/</t>
        </is>
      </c>
      <c r="H286" s="6">
        <f>ROUND(MIN(100,LOG10(C286+1)*18+(10-D286)*2+IF(OR(E286="Commercial",E286="Informational / Transactional"),12,5)),0)</f>
        <v/>
      </c>
      <c r="I286" s="6">
        <f>IF(H286&gt;=85,"P1",IF(H286&gt;=70,"P2","P3"))</f>
        <v/>
      </c>
      <c r="J286" s="5" t="inlineStr">
        <is>
          <t>https://ahrefs.com/keywords-explorer</t>
        </is>
      </c>
    </row>
    <row r="287">
      <c r="A287" s="2" t="inlineStr">
        <is>
          <t>Maintenance &amp; Parts</t>
        </is>
      </c>
      <c r="B287" s="3" t="inlineStr">
        <is>
          <t>motorcycle coolant</t>
        </is>
      </c>
      <c r="C287" s="4" t="n">
        <v>80</v>
      </c>
      <c r="D287" s="3" t="n">
        <v>0</v>
      </c>
      <c r="E287" s="5" t="inlineStr">
        <is>
          <t>Informational</t>
        </is>
      </c>
      <c r="F287" s="5" t="inlineStr">
        <is>
          <t>Part/maintenance guide</t>
        </is>
      </c>
      <c r="G287" s="5" t="inlineStr">
        <is>
          <t>/maintenance/motorcycle-coolant/</t>
        </is>
      </c>
      <c r="H287" s="6">
        <f>ROUND(MIN(100,LOG10(C287+1)*18+(10-D287)*2+IF(OR(E287="Commercial",E287="Informational / Transactional"),12,5)),0)</f>
        <v/>
      </c>
      <c r="I287" s="6">
        <f>IF(H287&gt;=85,"P1",IF(H287&gt;=70,"P2","P3"))</f>
        <v/>
      </c>
      <c r="J287" s="5" t="inlineStr">
        <is>
          <t>https://ahrefs.com/keywords-explorer</t>
        </is>
      </c>
    </row>
    <row r="288">
      <c r="A288" s="2" t="inlineStr">
        <is>
          <t>Maintenance &amp; Parts</t>
        </is>
      </c>
      <c r="B288" s="3" t="inlineStr">
        <is>
          <t>motorcycle gear oil</t>
        </is>
      </c>
      <c r="C288" s="4" t="n">
        <v>80</v>
      </c>
      <c r="D288" s="3" t="n">
        <v>0</v>
      </c>
      <c r="E288" s="5" t="inlineStr">
        <is>
          <t>Commercial</t>
        </is>
      </c>
      <c r="F288" s="5" t="inlineStr">
        <is>
          <t>Part/maintenance guide</t>
        </is>
      </c>
      <c r="G288" s="5" t="inlineStr">
        <is>
          <t>/maintenance/motorcycle-gear-oil/</t>
        </is>
      </c>
      <c r="H288" s="6">
        <f>ROUND(MIN(100,LOG10(C288+1)*18+(10-D288)*2+IF(OR(E288="Commercial",E288="Informational / Transactional"),12,5)),0)</f>
        <v/>
      </c>
      <c r="I288" s="6">
        <f>IF(H288&gt;=85,"P1",IF(H288&gt;=70,"P2","P3"))</f>
        <v/>
      </c>
      <c r="J288" s="5" t="inlineStr">
        <is>
          <t>https://ahrefs.com/keywords-explorer</t>
        </is>
      </c>
    </row>
    <row r="289">
      <c r="A289" s="2" t="inlineStr">
        <is>
          <t>Maintenance &amp; Parts</t>
        </is>
      </c>
      <c r="B289" s="3" t="inlineStr">
        <is>
          <t>10w50 motorcycle oil</t>
        </is>
      </c>
      <c r="C289" s="4" t="n">
        <v>70</v>
      </c>
      <c r="D289" s="3" t="n">
        <v>0</v>
      </c>
      <c r="E289" s="5" t="inlineStr">
        <is>
          <t>Commercial</t>
        </is>
      </c>
      <c r="F289" s="5" t="inlineStr">
        <is>
          <t>Part/maintenance guide</t>
        </is>
      </c>
      <c r="G289" s="5" t="inlineStr">
        <is>
          <t>/maintenance/10w50-motorcycle-oil/</t>
        </is>
      </c>
      <c r="H289" s="6">
        <f>ROUND(MIN(100,LOG10(C289+1)*18+(10-D289)*2+IF(OR(E289="Commercial",E289="Informational / Transactional"),12,5)),0)</f>
        <v/>
      </c>
      <c r="I289" s="6">
        <f>IF(H289&gt;=85,"P1",IF(H289&gt;=70,"P2","P3"))</f>
        <v/>
      </c>
      <c r="J289" s="5" t="inlineStr">
        <is>
          <t>https://ahrefs.com/keywords-explorer</t>
        </is>
      </c>
    </row>
    <row r="290">
      <c r="A290" s="2" t="inlineStr">
        <is>
          <t>Maintenance &amp; Parts</t>
        </is>
      </c>
      <c r="B290" s="3" t="inlineStr">
        <is>
          <t>chain cleaner motorcycle</t>
        </is>
      </c>
      <c r="C290" s="4" t="n">
        <v>70</v>
      </c>
      <c r="D290" s="3" t="n">
        <v>0</v>
      </c>
      <c r="E290" s="5" t="inlineStr">
        <is>
          <t>Informational</t>
        </is>
      </c>
      <c r="F290" s="5" t="inlineStr">
        <is>
          <t>Part/maintenance guide</t>
        </is>
      </c>
      <c r="G290" s="5" t="inlineStr">
        <is>
          <t>/maintenance/chain-cleaner-motorcycle/</t>
        </is>
      </c>
      <c r="H290" s="6">
        <f>ROUND(MIN(100,LOG10(C290+1)*18+(10-D290)*2+IF(OR(E290="Commercial",E290="Informational / Transactional"),12,5)),0)</f>
        <v/>
      </c>
      <c r="I290" s="6">
        <f>IF(H290&gt;=85,"P1",IF(H290&gt;=70,"P2","P3"))</f>
        <v/>
      </c>
      <c r="J290" s="5" t="inlineStr">
        <is>
          <t>https://ahrefs.com/keywords-explorer</t>
        </is>
      </c>
    </row>
    <row r="291">
      <c r="A291" s="2" t="inlineStr">
        <is>
          <t>Maintenance &amp; Parts</t>
        </is>
      </c>
      <c r="B291" s="3" t="inlineStr">
        <is>
          <t>coolant motorcycle</t>
        </is>
      </c>
      <c r="C291" s="4" t="n">
        <v>70</v>
      </c>
      <c r="D291" s="3" t="n">
        <v>0</v>
      </c>
      <c r="E291" s="5" t="inlineStr">
        <is>
          <t>Informational</t>
        </is>
      </c>
      <c r="F291" s="5" t="inlineStr">
        <is>
          <t>Part/maintenance guide</t>
        </is>
      </c>
      <c r="G291" s="5" t="inlineStr">
        <is>
          <t>/maintenance/coolant-motorcycle/</t>
        </is>
      </c>
      <c r="H291" s="6">
        <f>ROUND(MIN(100,LOG10(C291+1)*18+(10-D291)*2+IF(OR(E291="Commercial",E291="Informational / Transactional"),12,5)),0)</f>
        <v/>
      </c>
      <c r="I291" s="6">
        <f>IF(H291&gt;=85,"P1",IF(H291&gt;=70,"P2","P3"))</f>
        <v/>
      </c>
      <c r="J291" s="5" t="inlineStr">
        <is>
          <t>https://ahrefs.com/keywords-explorer</t>
        </is>
      </c>
    </row>
    <row r="292">
      <c r="A292" s="2" t="inlineStr">
        <is>
          <t>Maintenance &amp; Parts</t>
        </is>
      </c>
      <c r="B292" s="3" t="inlineStr">
        <is>
          <t>motorcycle oil brands</t>
        </is>
      </c>
      <c r="C292" s="4" t="n">
        <v>70</v>
      </c>
      <c r="D292" s="3" t="n">
        <v>0</v>
      </c>
      <c r="E292" s="5" t="inlineStr">
        <is>
          <t>Commercial</t>
        </is>
      </c>
      <c r="F292" s="5" t="inlineStr">
        <is>
          <t>Part/maintenance guide</t>
        </is>
      </c>
      <c r="G292" s="5" t="inlineStr">
        <is>
          <t>/maintenance/motorcycle-oil-brands/</t>
        </is>
      </c>
      <c r="H292" s="6">
        <f>ROUND(MIN(100,LOG10(C292+1)*18+(10-D292)*2+IF(OR(E292="Commercial",E292="Informational / Transactional"),12,5)),0)</f>
        <v/>
      </c>
      <c r="I292" s="6">
        <f>IF(H292&gt;=85,"P1",IF(H292&gt;=70,"P2","P3"))</f>
        <v/>
      </c>
      <c r="J292" s="5" t="inlineStr">
        <is>
          <t>https://ahrefs.com/keywords-explorer</t>
        </is>
      </c>
    </row>
    <row r="293">
      <c r="A293" s="2" t="inlineStr">
        <is>
          <t>Maintenance &amp; Parts</t>
        </is>
      </c>
      <c r="B293" s="3" t="inlineStr">
        <is>
          <t>12v motorcycle battery</t>
        </is>
      </c>
      <c r="C293" s="4" t="n">
        <v>60</v>
      </c>
      <c r="D293" s="3" t="n">
        <v>0</v>
      </c>
      <c r="E293" s="5" t="inlineStr">
        <is>
          <t>Commercial</t>
        </is>
      </c>
      <c r="F293" s="5" t="inlineStr">
        <is>
          <t>Part/maintenance guide</t>
        </is>
      </c>
      <c r="G293" s="5" t="inlineStr">
        <is>
          <t>/maintenance/12v-motorcycle-battery/</t>
        </is>
      </c>
      <c r="H293" s="6">
        <f>ROUND(MIN(100,LOG10(C293+1)*18+(10-D293)*2+IF(OR(E293="Commercial",E293="Informational / Transactional"),12,5)),0)</f>
        <v/>
      </c>
      <c r="I293" s="6">
        <f>IF(H293&gt;=85,"P1",IF(H293&gt;=70,"P2","P3"))</f>
        <v/>
      </c>
      <c r="J293" s="5" t="inlineStr">
        <is>
          <t>https://ahrefs.com/keywords-explorer</t>
        </is>
      </c>
    </row>
    <row r="294">
      <c r="A294" s="2" t="inlineStr">
        <is>
          <t>Maintenance &amp; Parts</t>
        </is>
      </c>
      <c r="B294" s="3" t="inlineStr">
        <is>
          <t>lifepo4 battery for motorcycle</t>
        </is>
      </c>
      <c r="C294" s="4" t="n">
        <v>60</v>
      </c>
      <c r="D294" s="3" t="n">
        <v>0</v>
      </c>
      <c r="E294" s="5" t="inlineStr">
        <is>
          <t>Commercial</t>
        </is>
      </c>
      <c r="F294" s="5" t="inlineStr">
        <is>
          <t>Part/maintenance guide</t>
        </is>
      </c>
      <c r="G294" s="5" t="inlineStr">
        <is>
          <t>/maintenance/lifepo4-battery-for-motorcycle/</t>
        </is>
      </c>
      <c r="H294" s="6">
        <f>ROUND(MIN(100,LOG10(C294+1)*18+(10-D294)*2+IF(OR(E294="Commercial",E294="Informational / Transactional"),12,5)),0)</f>
        <v/>
      </c>
      <c r="I294" s="6">
        <f>IF(H294&gt;=85,"P1",IF(H294&gt;=70,"P2","P3"))</f>
        <v/>
      </c>
      <c r="J294" s="5" t="inlineStr">
        <is>
          <t>https://ahrefs.com/keywords-explorer</t>
        </is>
      </c>
    </row>
    <row r="295">
      <c r="A295" s="2" t="inlineStr">
        <is>
          <t>Maintenance &amp; Parts</t>
        </is>
      </c>
      <c r="B295" s="3" t="inlineStr">
        <is>
          <t>motorcycle chain lock</t>
        </is>
      </c>
      <c r="C295" s="4" t="n">
        <v>60</v>
      </c>
      <c r="D295" s="3" t="n">
        <v>0</v>
      </c>
      <c r="E295" s="5" t="inlineStr">
        <is>
          <t>Informational</t>
        </is>
      </c>
      <c r="F295" s="5" t="inlineStr">
        <is>
          <t>Part/maintenance guide</t>
        </is>
      </c>
      <c r="G295" s="5" t="inlineStr">
        <is>
          <t>/maintenance/motorcycle-chain-lock/</t>
        </is>
      </c>
      <c r="H295" s="6">
        <f>ROUND(MIN(100,LOG10(C295+1)*18+(10-D295)*2+IF(OR(E295="Commercial",E295="Informational / Transactional"),12,5)),0)</f>
        <v/>
      </c>
      <c r="I295" s="6">
        <f>IF(H295&gt;=85,"P1",IF(H295&gt;=70,"P2","P3"))</f>
        <v/>
      </c>
      <c r="J295" s="5" t="inlineStr">
        <is>
          <t>https://ahrefs.com/keywords-explorer</t>
        </is>
      </c>
    </row>
    <row r="296">
      <c r="A296" s="2" t="inlineStr">
        <is>
          <t>Ownership, LTO &amp; Insurance</t>
        </is>
      </c>
      <c r="B296" s="3" t="inlineStr">
        <is>
          <t>lto portal registration for motorcycle</t>
        </is>
      </c>
      <c r="C296" s="4" t="n">
        <v>1000</v>
      </c>
      <c r="D296" s="3" t="n">
        <v>8</v>
      </c>
      <c r="E296" s="5" t="inlineStr">
        <is>
          <t>Informational / Transactional</t>
        </is>
      </c>
      <c r="F296" s="5" t="inlineStr">
        <is>
          <t>LTO process / calculator page</t>
        </is>
      </c>
      <c r="G296" s="5" t="inlineStr">
        <is>
          <t>/ownership/lto-portal-registration-for-motorcycle/</t>
        </is>
      </c>
      <c r="H296" s="6">
        <f>ROUND(MIN(100,LOG10(C296+1)*18+(10-D296)*2+IF(OR(E296="Commercial",E296="Informational / Transactional"),12,5)),0)</f>
        <v/>
      </c>
      <c r="I296" s="6">
        <f>IF(H296&gt;=85,"P1",IF(H296&gt;=70,"P2","P3"))</f>
        <v/>
      </c>
      <c r="J296" s="5" t="inlineStr">
        <is>
          <t>https://ahrefs.com/keywords-explorer</t>
        </is>
      </c>
    </row>
    <row r="297">
      <c r="A297" s="2" t="inlineStr">
        <is>
          <t>Ownership, LTO &amp; Insurance</t>
        </is>
      </c>
      <c r="B297" s="3" t="inlineStr">
        <is>
          <t>motorcycle license plate distribution checkpoints</t>
        </is>
      </c>
      <c r="C297" s="4" t="n">
        <v>1000</v>
      </c>
      <c r="D297" s="3" t="n">
        <v>0</v>
      </c>
      <c r="E297" s="5" t="inlineStr">
        <is>
          <t>Informational</t>
        </is>
      </c>
      <c r="F297" s="5" t="inlineStr">
        <is>
          <t>Regulation explainer</t>
        </is>
      </c>
      <c r="G297" s="5" t="inlineStr">
        <is>
          <t>/ownership/motorcycle-license-plate-distribution-checkpoints/</t>
        </is>
      </c>
      <c r="H297" s="6">
        <f>ROUND(MIN(100,LOG10(C297+1)*18+(10-D297)*2+IF(OR(E297="Commercial",E297="Informational / Transactional"),12,5)),0)</f>
        <v/>
      </c>
      <c r="I297" s="6">
        <f>IF(H297&gt;=85,"P1",IF(H297&gt;=70,"P2","P3"))</f>
        <v/>
      </c>
      <c r="J297" s="5" t="inlineStr">
        <is>
          <t>https://ahrefs.com/keywords-explorer</t>
        </is>
      </c>
    </row>
    <row r="298">
      <c r="A298" s="2" t="inlineStr">
        <is>
          <t>Ownership, LTO &amp; Insurance</t>
        </is>
      </c>
      <c r="B298" s="3" t="inlineStr">
        <is>
          <t>lto roadside motorcycle plate distribution</t>
        </is>
      </c>
      <c r="C298" s="4" t="n">
        <v>800</v>
      </c>
      <c r="D298" s="3" t="n">
        <v>0</v>
      </c>
      <c r="E298" s="5" t="inlineStr">
        <is>
          <t>Informational</t>
        </is>
      </c>
      <c r="F298" s="5" t="inlineStr">
        <is>
          <t>LTO process / calculator page</t>
        </is>
      </c>
      <c r="G298" s="5" t="inlineStr">
        <is>
          <t>/ownership/lto-roadside-motorcycle-plate-distribution/</t>
        </is>
      </c>
      <c r="H298" s="6">
        <f>ROUND(MIN(100,LOG10(C298+1)*18+(10-D298)*2+IF(OR(E298="Commercial",E298="Informational / Transactional"),12,5)),0)</f>
        <v/>
      </c>
      <c r="I298" s="6">
        <f>IF(H298&gt;=85,"P1",IF(H298&gt;=70,"P2","P3"))</f>
        <v/>
      </c>
      <c r="J298" s="5" t="inlineStr">
        <is>
          <t>https://ahrefs.com/keywords-explorer</t>
        </is>
      </c>
    </row>
    <row r="299">
      <c r="A299" s="2" t="inlineStr">
        <is>
          <t>Ownership, LTO &amp; Insurance</t>
        </is>
      </c>
      <c r="B299" s="3" t="inlineStr">
        <is>
          <t>lto new plate number for motorcycle</t>
        </is>
      </c>
      <c r="C299" s="4" t="n">
        <v>700</v>
      </c>
      <c r="D299" s="3" t="n">
        <v>2</v>
      </c>
      <c r="E299" s="5" t="inlineStr">
        <is>
          <t>Informational</t>
        </is>
      </c>
      <c r="F299" s="5" t="inlineStr">
        <is>
          <t>LTO process / calculator page</t>
        </is>
      </c>
      <c r="G299" s="5" t="inlineStr">
        <is>
          <t>/ownership/lto-new-plate-number-for-motorcycle/</t>
        </is>
      </c>
      <c r="H299" s="6">
        <f>ROUND(MIN(100,LOG10(C299+1)*18+(10-D299)*2+IF(OR(E299="Commercial",E299="Informational / Transactional"),12,5)),0)</f>
        <v/>
      </c>
      <c r="I299" s="6">
        <f>IF(H299&gt;=85,"P1",IF(H299&gt;=70,"P2","P3"))</f>
        <v/>
      </c>
      <c r="J299" s="5" t="inlineStr">
        <is>
          <t>https://ahrefs.com/keywords-explorer</t>
        </is>
      </c>
    </row>
    <row r="300">
      <c r="A300" s="2" t="inlineStr">
        <is>
          <t>Ownership, LTO &amp; Insurance</t>
        </is>
      </c>
      <c r="B300" s="3" t="inlineStr">
        <is>
          <t>motorcycle insurance</t>
        </is>
      </c>
      <c r="C300" s="4" t="n">
        <v>700</v>
      </c>
      <c r="D300" s="3" t="n">
        <v>0</v>
      </c>
      <c r="E300" s="5" t="inlineStr">
        <is>
          <t>Commercial</t>
        </is>
      </c>
      <c r="F300" s="5" t="inlineStr">
        <is>
          <t>Insurance guide / lead page</t>
        </is>
      </c>
      <c r="G300" s="5" t="inlineStr">
        <is>
          <t>/ownership/motorcycle-insurance/</t>
        </is>
      </c>
      <c r="H300" s="6">
        <f>ROUND(MIN(100,LOG10(C300+1)*18+(10-D300)*2+IF(OR(E300="Commercial",E300="Informational / Transactional"),12,5)),0)</f>
        <v/>
      </c>
      <c r="I300" s="6">
        <f>IF(H300&gt;=85,"P1",IF(H300&gt;=70,"P2","P3"))</f>
        <v/>
      </c>
      <c r="J300" s="5" t="inlineStr">
        <is>
          <t>https://ahrefs.com/keywords-explorer</t>
        </is>
      </c>
    </row>
    <row r="301">
      <c r="A301" s="2" t="inlineStr">
        <is>
          <t>Ownership, LTO &amp; Insurance</t>
        </is>
      </c>
      <c r="B301" s="3" t="inlineStr">
        <is>
          <t>motorcycle registration</t>
        </is>
      </c>
      <c r="C301" s="4" t="n">
        <v>700</v>
      </c>
      <c r="D301" s="3" t="n">
        <v>0</v>
      </c>
      <c r="E301" s="5" t="inlineStr">
        <is>
          <t>Informational / Transactional</t>
        </is>
      </c>
      <c r="F301" s="5" t="inlineStr">
        <is>
          <t>LTO process / calculator page</t>
        </is>
      </c>
      <c r="G301" s="5" t="inlineStr">
        <is>
          <t>/ownership/motorcycle-registration/</t>
        </is>
      </c>
      <c r="H301" s="6">
        <f>ROUND(MIN(100,LOG10(C301+1)*18+(10-D301)*2+IF(OR(E301="Commercial",E301="Informational / Transactional"),12,5)),0)</f>
        <v/>
      </c>
      <c r="I301" s="6">
        <f>IF(H301&gt;=85,"P1",IF(H301&gt;=70,"P2","P3"))</f>
        <v/>
      </c>
      <c r="J301" s="5" t="inlineStr">
        <is>
          <t>https://ahrefs.com/keywords-explorer</t>
        </is>
      </c>
    </row>
    <row r="302">
      <c r="A302" s="2" t="inlineStr">
        <is>
          <t>Ownership, LTO &amp; Insurance</t>
        </is>
      </c>
      <c r="B302" s="3" t="inlineStr">
        <is>
          <t>motorcycle registration renewal</t>
        </is>
      </c>
      <c r="C302" s="4" t="n">
        <v>700</v>
      </c>
      <c r="D302" s="3" t="n">
        <v>0</v>
      </c>
      <c r="E302" s="5" t="inlineStr">
        <is>
          <t>Informational / Transactional</t>
        </is>
      </c>
      <c r="F302" s="5" t="inlineStr">
        <is>
          <t>LTO process / calculator page</t>
        </is>
      </c>
      <c r="G302" s="5" t="inlineStr">
        <is>
          <t>/ownership/motorcycle-registration-renewal/</t>
        </is>
      </c>
      <c r="H302" s="6">
        <f>ROUND(MIN(100,LOG10(C302+1)*18+(10-D302)*2+IF(OR(E302="Commercial",E302="Informational / Transactional"),12,5)),0)</f>
        <v/>
      </c>
      <c r="I302" s="6">
        <f>IF(H302&gt;=85,"P1",IF(H302&gt;=70,"P2","P3"))</f>
        <v/>
      </c>
      <c r="J302" s="5" t="inlineStr">
        <is>
          <t>https://ahrefs.com/keywords-explorer</t>
        </is>
      </c>
    </row>
    <row r="303">
      <c r="A303" s="2" t="inlineStr">
        <is>
          <t>Ownership, LTO &amp; Insurance</t>
        </is>
      </c>
      <c r="B303" s="3" t="inlineStr">
        <is>
          <t>no helmet violation fee</t>
        </is>
      </c>
      <c r="C303" s="4" t="n">
        <v>700</v>
      </c>
      <c r="D303" s="3" t="n">
        <v>0</v>
      </c>
      <c r="E303" s="5" t="inlineStr">
        <is>
          <t>Commercial</t>
        </is>
      </c>
      <c r="F303" s="5" t="inlineStr">
        <is>
          <t>Regulation explainer</t>
        </is>
      </c>
      <c r="G303" s="5" t="inlineStr">
        <is>
          <t>/ownership/no-helmet-violation-fee/</t>
        </is>
      </c>
      <c r="H303" s="6">
        <f>ROUND(MIN(100,LOG10(C303+1)*18+(10-D303)*2+IF(OR(E303="Commercial",E303="Informational / Transactional"),12,5)),0)</f>
        <v/>
      </c>
      <c r="I303" s="6">
        <f>IF(H303&gt;=85,"P1",IF(H303&gt;=70,"P2","P3"))</f>
        <v/>
      </c>
      <c r="J303" s="5" t="inlineStr">
        <is>
          <t>https://ahrefs.com/keywords-explorer</t>
        </is>
      </c>
    </row>
    <row r="304">
      <c r="A304" s="2" t="inlineStr">
        <is>
          <t>Ownership, LTO &amp; Insurance</t>
        </is>
      </c>
      <c r="B304" s="3" t="inlineStr">
        <is>
          <t>lto motorcycle registration</t>
        </is>
      </c>
      <c r="C304" s="4" t="n">
        <v>450</v>
      </c>
      <c r="D304" s="3" t="n">
        <v>0</v>
      </c>
      <c r="E304" s="5" t="inlineStr">
        <is>
          <t>Informational / Transactional</t>
        </is>
      </c>
      <c r="F304" s="5" t="inlineStr">
        <is>
          <t>LTO process / calculator page</t>
        </is>
      </c>
      <c r="G304" s="5" t="inlineStr">
        <is>
          <t>/ownership/lto-motorcycle-registration/</t>
        </is>
      </c>
      <c r="H304" s="6">
        <f>ROUND(MIN(100,LOG10(C304+1)*18+(10-D304)*2+IF(OR(E304="Commercial",E304="Informational / Transactional"),12,5)),0)</f>
        <v/>
      </c>
      <c r="I304" s="6">
        <f>IF(H304&gt;=85,"P1",IF(H304&gt;=70,"P2","P3"))</f>
        <v/>
      </c>
      <c r="J304" s="5" t="inlineStr">
        <is>
          <t>https://ahrefs.com/keywords-explorer</t>
        </is>
      </c>
    </row>
    <row r="305">
      <c r="A305" s="2" t="inlineStr">
        <is>
          <t>Ownership, LTO &amp; Insurance</t>
        </is>
      </c>
      <c r="B305" s="3" t="inlineStr">
        <is>
          <t>how to renew motorcycle registration</t>
        </is>
      </c>
      <c r="C305" s="4" t="n">
        <v>400</v>
      </c>
      <c r="D305" s="3" t="n">
        <v>0</v>
      </c>
      <c r="E305" s="5" t="inlineStr">
        <is>
          <t>Informational / Transactional</t>
        </is>
      </c>
      <c r="F305" s="5" t="inlineStr">
        <is>
          <t>LTO process / calculator page</t>
        </is>
      </c>
      <c r="G305" s="5" t="inlineStr">
        <is>
          <t>/ownership/how-to-renew-motorcycle-registration/</t>
        </is>
      </c>
      <c r="H305" s="6">
        <f>ROUND(MIN(100,LOG10(C305+1)*18+(10-D305)*2+IF(OR(E305="Commercial",E305="Informational / Transactional"),12,5)),0)</f>
        <v/>
      </c>
      <c r="I305" s="6">
        <f>IF(H305&gt;=85,"P1",IF(H305&gt;=70,"P2","P3"))</f>
        <v/>
      </c>
      <c r="J305" s="5" t="inlineStr">
        <is>
          <t>https://ahrefs.com/keywords-explorer</t>
        </is>
      </c>
    </row>
    <row r="306">
      <c r="A306" s="2" t="inlineStr">
        <is>
          <t>Ownership, LTO &amp; Insurance</t>
        </is>
      </c>
      <c r="B306" s="3" t="inlineStr">
        <is>
          <t>icc sticker helmet</t>
        </is>
      </c>
      <c r="C306" s="4" t="n">
        <v>400</v>
      </c>
      <c r="D306" s="3" t="n">
        <v>0</v>
      </c>
      <c r="E306" s="5" t="inlineStr">
        <is>
          <t>Commercial</t>
        </is>
      </c>
      <c r="F306" s="5" t="inlineStr">
        <is>
          <t>Regulation explainer</t>
        </is>
      </c>
      <c r="G306" s="5" t="inlineStr">
        <is>
          <t>/ownership/icc-sticker-helmet/</t>
        </is>
      </c>
      <c r="H306" s="6">
        <f>ROUND(MIN(100,LOG10(C306+1)*18+(10-D306)*2+IF(OR(E306="Commercial",E306="Informational / Transactional"),12,5)),0)</f>
        <v/>
      </c>
      <c r="I306" s="6">
        <f>IF(H306&gt;=85,"P1",IF(H306&gt;=70,"P2","P3"))</f>
        <v/>
      </c>
      <c r="J306" s="5" t="inlineStr">
        <is>
          <t>https://ahrefs.com/keywords-explorer</t>
        </is>
      </c>
    </row>
    <row r="307">
      <c r="A307" s="2" t="inlineStr">
        <is>
          <t>Ownership, LTO &amp; Insurance</t>
        </is>
      </c>
      <c r="B307" s="3" t="inlineStr">
        <is>
          <t>motorcycle insurance philippines</t>
        </is>
      </c>
      <c r="C307" s="4" t="n">
        <v>400</v>
      </c>
      <c r="D307" s="3" t="n">
        <v>0</v>
      </c>
      <c r="E307" s="5" t="inlineStr">
        <is>
          <t>Commercial</t>
        </is>
      </c>
      <c r="F307" s="5" t="inlineStr">
        <is>
          <t>Insurance guide / lead page</t>
        </is>
      </c>
      <c r="G307" s="5" t="inlineStr">
        <is>
          <t>/ownership/motorcycle-insurance-philippines/</t>
        </is>
      </c>
      <c r="H307" s="6">
        <f>ROUND(MIN(100,LOG10(C307+1)*18+(10-D307)*2+IF(OR(E307="Commercial",E307="Informational / Transactional"),12,5)),0)</f>
        <v/>
      </c>
      <c r="I307" s="6">
        <f>IF(H307&gt;=85,"P1",IF(H307&gt;=70,"P2","P3"))</f>
        <v/>
      </c>
      <c r="J307" s="5" t="inlineStr">
        <is>
          <t>https://ahrefs.com/keywords-explorer</t>
        </is>
      </c>
    </row>
    <row r="308">
      <c r="A308" s="2" t="inlineStr">
        <is>
          <t>Ownership, LTO &amp; Insurance</t>
        </is>
      </c>
      <c r="B308" s="3" t="inlineStr">
        <is>
          <t>motorcycle registration fee</t>
        </is>
      </c>
      <c r="C308" s="4" t="n">
        <v>350</v>
      </c>
      <c r="D308" s="3" t="n">
        <v>0</v>
      </c>
      <c r="E308" s="5" t="inlineStr">
        <is>
          <t>Informational / Transactional</t>
        </is>
      </c>
      <c r="F308" s="5" t="inlineStr">
        <is>
          <t>LTO process / calculator page</t>
        </is>
      </c>
      <c r="G308" s="5" t="inlineStr">
        <is>
          <t>/ownership/motorcycle-registration-fee/</t>
        </is>
      </c>
      <c r="H308" s="6">
        <f>ROUND(MIN(100,LOG10(C308+1)*18+(10-D308)*2+IF(OR(E308="Commercial",E308="Informational / Transactional"),12,5)),0)</f>
        <v/>
      </c>
      <c r="I308" s="6">
        <f>IF(H308&gt;=85,"P1",IF(H308&gt;=70,"P2","P3"))</f>
        <v/>
      </c>
      <c r="J308" s="5" t="inlineStr">
        <is>
          <t>https://ahrefs.com/keywords-explorer</t>
        </is>
      </c>
    </row>
    <row r="309">
      <c r="A309" s="2" t="inlineStr">
        <is>
          <t>Ownership, LTO &amp; Insurance</t>
        </is>
      </c>
      <c r="B309" s="3" t="inlineStr">
        <is>
          <t>certificate of registration motorcycle</t>
        </is>
      </c>
      <c r="C309" s="4" t="n">
        <v>300</v>
      </c>
      <c r="D309" s="3" t="n">
        <v>0</v>
      </c>
      <c r="E309" s="5" t="inlineStr">
        <is>
          <t>Informational / Transactional</t>
        </is>
      </c>
      <c r="F309" s="5" t="inlineStr">
        <is>
          <t>LTO process / calculator page</t>
        </is>
      </c>
      <c r="G309" s="5" t="inlineStr">
        <is>
          <t>/ownership/certificate-of-registration-motorcycle/</t>
        </is>
      </c>
      <c r="H309" s="6">
        <f>ROUND(MIN(100,LOG10(C309+1)*18+(10-D309)*2+IF(OR(E309="Commercial",E309="Informational / Transactional"),12,5)),0)</f>
        <v/>
      </c>
      <c r="I309" s="6">
        <f>IF(H309&gt;=85,"P1",IF(H309&gt;=70,"P2","P3"))</f>
        <v/>
      </c>
      <c r="J309" s="5" t="inlineStr">
        <is>
          <t>https://ahrefs.com/keywords-explorer</t>
        </is>
      </c>
    </row>
    <row r="310">
      <c r="A310" s="2" t="inlineStr">
        <is>
          <t>Ownership, LTO &amp; Insurance</t>
        </is>
      </c>
      <c r="B310" s="3" t="inlineStr">
        <is>
          <t>cebuana motorcycle insurance</t>
        </is>
      </c>
      <c r="C310" s="4" t="n">
        <v>250</v>
      </c>
      <c r="D310" s="3" t="n">
        <v>0</v>
      </c>
      <c r="E310" s="5" t="inlineStr">
        <is>
          <t>Commercial</t>
        </is>
      </c>
      <c r="F310" s="5" t="inlineStr">
        <is>
          <t>Insurance guide / lead page</t>
        </is>
      </c>
      <c r="G310" s="5" t="inlineStr">
        <is>
          <t>/ownership/cebuana-motorcycle-insurance/</t>
        </is>
      </c>
      <c r="H310" s="6">
        <f>ROUND(MIN(100,LOG10(C310+1)*18+(10-D310)*2+IF(OR(E310="Commercial",E310="Informational / Transactional"),12,5)),0)</f>
        <v/>
      </c>
      <c r="I310" s="6">
        <f>IF(H310&gt;=85,"P1",IF(H310&gt;=70,"P2","P3"))</f>
        <v/>
      </c>
      <c r="J310" s="5" t="inlineStr">
        <is>
          <t>https://ahrefs.com/keywords-explorer</t>
        </is>
      </c>
    </row>
    <row r="311">
      <c r="A311" s="2" t="inlineStr">
        <is>
          <t>Ownership, LTO &amp; Insurance</t>
        </is>
      </c>
      <c r="B311" s="3" t="inlineStr">
        <is>
          <t>lto registration fee for motorcycle</t>
        </is>
      </c>
      <c r="C311" s="4" t="n">
        <v>250</v>
      </c>
      <c r="D311" s="3" t="n">
        <v>0</v>
      </c>
      <c r="E311" s="5" t="inlineStr">
        <is>
          <t>Informational / Transactional</t>
        </is>
      </c>
      <c r="F311" s="5" t="inlineStr">
        <is>
          <t>LTO process / calculator page</t>
        </is>
      </c>
      <c r="G311" s="5" t="inlineStr">
        <is>
          <t>/ownership/lto-registration-fee-for-motorcycle/</t>
        </is>
      </c>
      <c r="H311" s="6">
        <f>ROUND(MIN(100,LOG10(C311+1)*18+(10-D311)*2+IF(OR(E311="Commercial",E311="Informational / Transactional"),12,5)),0)</f>
        <v/>
      </c>
      <c r="I311" s="6">
        <f>IF(H311&gt;=85,"P1",IF(H311&gt;=70,"P2","P3"))</f>
        <v/>
      </c>
      <c r="J311" s="5" t="inlineStr">
        <is>
          <t>https://ahrefs.com/keywords-explorer</t>
        </is>
      </c>
    </row>
    <row r="312">
      <c r="A312" s="2" t="inlineStr">
        <is>
          <t>Ownership, LTO &amp; Insurance</t>
        </is>
      </c>
      <c r="B312" s="3" t="inlineStr">
        <is>
          <t>penalty for expired motorcycle registration philippines</t>
        </is>
      </c>
      <c r="C312" s="4" t="n">
        <v>250</v>
      </c>
      <c r="D312" s="3" t="n">
        <v>0</v>
      </c>
      <c r="E312" s="5" t="inlineStr">
        <is>
          <t>Informational / Transactional</t>
        </is>
      </c>
      <c r="F312" s="5" t="inlineStr">
        <is>
          <t>LTO process / calculator page</t>
        </is>
      </c>
      <c r="G312" s="5" t="inlineStr">
        <is>
          <t>/ownership/penalty-for-expired-motorcycle-registration-philippines/</t>
        </is>
      </c>
      <c r="H312" s="6">
        <f>ROUND(MIN(100,LOG10(C312+1)*18+(10-D312)*2+IF(OR(E312="Commercial",E312="Informational / Transactional"),12,5)),0)</f>
        <v/>
      </c>
      <c r="I312" s="6">
        <f>IF(H312&gt;=85,"P1",IF(H312&gt;=70,"P2","P3"))</f>
        <v/>
      </c>
      <c r="J312" s="5" t="inlineStr">
        <is>
          <t>https://ahrefs.com/keywords-explorer</t>
        </is>
      </c>
    </row>
    <row r="313">
      <c r="A313" s="2" t="inlineStr">
        <is>
          <t>Ownership, LTO &amp; Insurance</t>
        </is>
      </c>
      <c r="B313" s="3" t="inlineStr">
        <is>
          <t>renewal of motorcycle registration</t>
        </is>
      </c>
      <c r="C313" s="4" t="n">
        <v>250</v>
      </c>
      <c r="D313" s="3" t="n">
        <v>0</v>
      </c>
      <c r="E313" s="5" t="inlineStr">
        <is>
          <t>Informational / Transactional</t>
        </is>
      </c>
      <c r="F313" s="5" t="inlineStr">
        <is>
          <t>LTO process / calculator page</t>
        </is>
      </c>
      <c r="G313" s="5" t="inlineStr">
        <is>
          <t>/ownership/renewal-of-motorcycle-registration/</t>
        </is>
      </c>
      <c r="H313" s="6">
        <f>ROUND(MIN(100,LOG10(C313+1)*18+(10-D313)*2+IF(OR(E313="Commercial",E313="Informational / Transactional"),12,5)),0)</f>
        <v/>
      </c>
      <c r="I313" s="6">
        <f>IF(H313&gt;=85,"P1",IF(H313&gt;=70,"P2","P3"))</f>
        <v/>
      </c>
      <c r="J313" s="5" t="inlineStr">
        <is>
          <t>https://ahrefs.com/keywords-explorer</t>
        </is>
      </c>
    </row>
    <row r="314">
      <c r="A314" s="2" t="inlineStr">
        <is>
          <t>Ownership, LTO &amp; Insurance</t>
        </is>
      </c>
      <c r="B314" s="3" t="inlineStr">
        <is>
          <t>comprehensive insurance for motorcycle</t>
        </is>
      </c>
      <c r="C314" s="4" t="n">
        <v>200</v>
      </c>
      <c r="D314" s="3" t="n">
        <v>0</v>
      </c>
      <c r="E314" s="5" t="inlineStr">
        <is>
          <t>Commercial</t>
        </is>
      </c>
      <c r="F314" s="5" t="inlineStr">
        <is>
          <t>Insurance guide / lead page</t>
        </is>
      </c>
      <c r="G314" s="5" t="inlineStr">
        <is>
          <t>/ownership/comprehensive-insurance-for-motorcycle/</t>
        </is>
      </c>
      <c r="H314" s="6">
        <f>ROUND(MIN(100,LOG10(C314+1)*18+(10-D314)*2+IF(OR(E314="Commercial",E314="Informational / Transactional"),12,5)),0)</f>
        <v/>
      </c>
      <c r="I314" s="6">
        <f>IF(H314&gt;=85,"P1",IF(H314&gt;=70,"P2","P3"))</f>
        <v/>
      </c>
      <c r="J314" s="5" t="inlineStr">
        <is>
          <t>https://ahrefs.com/keywords-explorer</t>
        </is>
      </c>
    </row>
    <row r="315">
      <c r="A315" s="2" t="inlineStr">
        <is>
          <t>Ownership, LTO &amp; Insurance</t>
        </is>
      </c>
      <c r="B315" s="3" t="inlineStr">
        <is>
          <t>how much registration of motorcycle</t>
        </is>
      </c>
      <c r="C315" s="4" t="n">
        <v>200</v>
      </c>
      <c r="D315" s="3" t="n">
        <v>0</v>
      </c>
      <c r="E315" s="5" t="inlineStr">
        <is>
          <t>Informational / Transactional</t>
        </is>
      </c>
      <c r="F315" s="5" t="inlineStr">
        <is>
          <t>LTO process / calculator page</t>
        </is>
      </c>
      <c r="G315" s="5" t="inlineStr">
        <is>
          <t>/ownership/how-much-registration-of-motorcycle/</t>
        </is>
      </c>
      <c r="H315" s="6">
        <f>ROUND(MIN(100,LOG10(C315+1)*18+(10-D315)*2+IF(OR(E315="Commercial",E315="Informational / Transactional"),12,5)),0)</f>
        <v/>
      </c>
      <c r="I315" s="6">
        <f>IF(H315&gt;=85,"P1",IF(H315&gt;=70,"P2","P3"))</f>
        <v/>
      </c>
      <c r="J315" s="5" t="inlineStr">
        <is>
          <t>https://ahrefs.com/keywords-explorer</t>
        </is>
      </c>
    </row>
    <row r="316">
      <c r="A316" s="2" t="inlineStr">
        <is>
          <t>Ownership, LTO &amp; Insurance</t>
        </is>
      </c>
      <c r="B316" s="3" t="inlineStr">
        <is>
          <t>how to know the expiration of motorcycle registration</t>
        </is>
      </c>
      <c r="C316" s="4" t="n">
        <v>200</v>
      </c>
      <c r="D316" s="3" t="n">
        <v>0</v>
      </c>
      <c r="E316" s="5" t="inlineStr">
        <is>
          <t>Informational / Transactional</t>
        </is>
      </c>
      <c r="F316" s="5" t="inlineStr">
        <is>
          <t>LTO process / calculator page</t>
        </is>
      </c>
      <c r="G316" s="5" t="inlineStr">
        <is>
          <t>/ownership/how-to-know-the-expiration-of-motorcycle-registration/</t>
        </is>
      </c>
      <c r="H316" s="6">
        <f>ROUND(MIN(100,LOG10(C316+1)*18+(10-D316)*2+IF(OR(E316="Commercial",E316="Informational / Transactional"),12,5)),0)</f>
        <v/>
      </c>
      <c r="I316" s="6">
        <f>IF(H316&gt;=85,"P1",IF(H316&gt;=70,"P2","P3"))</f>
        <v/>
      </c>
      <c r="J316" s="5" t="inlineStr">
        <is>
          <t>https://ahrefs.com/keywords-explorer</t>
        </is>
      </c>
    </row>
    <row r="317">
      <c r="A317" s="2" t="inlineStr">
        <is>
          <t>Ownership, LTO &amp; Insurance</t>
        </is>
      </c>
      <c r="B317" s="3" t="inlineStr">
        <is>
          <t>how to renew motorcycle registration online</t>
        </is>
      </c>
      <c r="C317" s="4" t="n">
        <v>200</v>
      </c>
      <c r="D317" s="3" t="n">
        <v>0</v>
      </c>
      <c r="E317" s="5" t="inlineStr">
        <is>
          <t>Informational / Transactional</t>
        </is>
      </c>
      <c r="F317" s="5" t="inlineStr">
        <is>
          <t>LTO process / calculator page</t>
        </is>
      </c>
      <c r="G317" s="5" t="inlineStr">
        <is>
          <t>/ownership/how-to-renew-motorcycle-registration-online/</t>
        </is>
      </c>
      <c r="H317" s="6">
        <f>ROUND(MIN(100,LOG10(C317+1)*18+(10-D317)*2+IF(OR(E317="Commercial",E317="Informational / Transactional"),12,5)),0)</f>
        <v/>
      </c>
      <c r="I317" s="6">
        <f>IF(H317&gt;=85,"P1",IF(H317&gt;=70,"P2","P3"))</f>
        <v/>
      </c>
      <c r="J317" s="5" t="inlineStr">
        <is>
          <t>https://ahrefs.com/keywords-explorer</t>
        </is>
      </c>
    </row>
    <row r="318">
      <c r="A318" s="2" t="inlineStr">
        <is>
          <t>Ownership, LTO &amp; Insurance</t>
        </is>
      </c>
      <c r="B318" s="3" t="inlineStr">
        <is>
          <t>insurance for motorcycle</t>
        </is>
      </c>
      <c r="C318" s="4" t="n">
        <v>200</v>
      </c>
      <c r="D318" s="3" t="n">
        <v>0</v>
      </c>
      <c r="E318" s="5" t="inlineStr">
        <is>
          <t>Commercial</t>
        </is>
      </c>
      <c r="F318" s="5" t="inlineStr">
        <is>
          <t>Insurance guide / lead page</t>
        </is>
      </c>
      <c r="G318" s="5" t="inlineStr">
        <is>
          <t>/ownership/insurance-for-motorcycle/</t>
        </is>
      </c>
      <c r="H318" s="6">
        <f>ROUND(MIN(100,LOG10(C318+1)*18+(10-D318)*2+IF(OR(E318="Commercial",E318="Informational / Transactional"),12,5)),0)</f>
        <v/>
      </c>
      <c r="I318" s="6">
        <f>IF(H318&gt;=85,"P1",IF(H318&gt;=70,"P2","P3"))</f>
        <v/>
      </c>
      <c r="J318" s="5" t="inlineStr">
        <is>
          <t>https://ahrefs.com/keywords-explorer</t>
        </is>
      </c>
    </row>
    <row r="319">
      <c r="A319" s="2" t="inlineStr">
        <is>
          <t>Ownership, LTO &amp; Insurance</t>
        </is>
      </c>
      <c r="B319" s="3" t="inlineStr">
        <is>
          <t>lto motorcycle registration fee</t>
        </is>
      </c>
      <c r="C319" s="4" t="n">
        <v>200</v>
      </c>
      <c r="D319" s="3" t="n">
        <v>0</v>
      </c>
      <c r="E319" s="5" t="inlineStr">
        <is>
          <t>Informational / Transactional</t>
        </is>
      </c>
      <c r="F319" s="5" t="inlineStr">
        <is>
          <t>LTO process / calculator page</t>
        </is>
      </c>
      <c r="G319" s="5" t="inlineStr">
        <is>
          <t>/ownership/lto-motorcycle-registration-fee/</t>
        </is>
      </c>
      <c r="H319" s="6">
        <f>ROUND(MIN(100,LOG10(C319+1)*18+(10-D319)*2+IF(OR(E319="Commercial",E319="Informational / Transactional"),12,5)),0)</f>
        <v/>
      </c>
      <c r="I319" s="6">
        <f>IF(H319&gt;=85,"P1",IF(H319&gt;=70,"P2","P3"))</f>
        <v/>
      </c>
      <c r="J319" s="5" t="inlineStr">
        <is>
          <t>https://ahrefs.com/keywords-explorer</t>
        </is>
      </c>
    </row>
    <row r="320">
      <c r="A320" s="2" t="inlineStr">
        <is>
          <t>Ownership, LTO &amp; Insurance</t>
        </is>
      </c>
      <c r="B320" s="3" t="inlineStr">
        <is>
          <t>lto motorcycle registration renewal</t>
        </is>
      </c>
      <c r="C320" s="4" t="n">
        <v>200</v>
      </c>
      <c r="D320" s="3" t="n">
        <v>0</v>
      </c>
      <c r="E320" s="5" t="inlineStr">
        <is>
          <t>Informational / Transactional</t>
        </is>
      </c>
      <c r="F320" s="5" t="inlineStr">
        <is>
          <t>LTO process / calculator page</t>
        </is>
      </c>
      <c r="G320" s="5" t="inlineStr">
        <is>
          <t>/ownership/lto-motorcycle-registration-renewal/</t>
        </is>
      </c>
      <c r="H320" s="6">
        <f>ROUND(MIN(100,LOG10(C320+1)*18+(10-D320)*2+IF(OR(E320="Commercial",E320="Informational / Transactional"),12,5)),0)</f>
        <v/>
      </c>
      <c r="I320" s="6">
        <f>IF(H320&gt;=85,"P1",IF(H320&gt;=70,"P2","P3"))</f>
        <v/>
      </c>
      <c r="J320" s="5" t="inlineStr">
        <is>
          <t>https://ahrefs.com/keywords-explorer</t>
        </is>
      </c>
    </row>
    <row r="321">
      <c r="A321" s="2" t="inlineStr">
        <is>
          <t>Ownership, LTO &amp; Insurance</t>
        </is>
      </c>
      <c r="B321" s="3" t="inlineStr">
        <is>
          <t>lto standard temporary plate for motorcycle</t>
        </is>
      </c>
      <c r="C321" s="4" t="n">
        <v>200</v>
      </c>
      <c r="D321" s="3" t="n">
        <v>0</v>
      </c>
      <c r="E321" s="5" t="inlineStr">
        <is>
          <t>Informational</t>
        </is>
      </c>
      <c r="F321" s="5" t="inlineStr">
        <is>
          <t>LTO process / calculator page</t>
        </is>
      </c>
      <c r="G321" s="5" t="inlineStr">
        <is>
          <t>/ownership/lto-standard-temporary-plate-for-motorcycle/</t>
        </is>
      </c>
      <c r="H321" s="6">
        <f>ROUND(MIN(100,LOG10(C321+1)*18+(10-D321)*2+IF(OR(E321="Commercial",E321="Informational / Transactional"),12,5)),0)</f>
        <v/>
      </c>
      <c r="I321" s="6">
        <f>IF(H321&gt;=85,"P1",IF(H321&gt;=70,"P2","P3"))</f>
        <v/>
      </c>
      <c r="J321" s="5" t="inlineStr">
        <is>
          <t>https://ahrefs.com/keywords-explorer</t>
        </is>
      </c>
    </row>
    <row r="322">
      <c r="A322" s="2" t="inlineStr">
        <is>
          <t>Ownership, LTO &amp; Insurance</t>
        </is>
      </c>
      <c r="B322" s="3" t="inlineStr">
        <is>
          <t>renew motorcycle registration</t>
        </is>
      </c>
      <c r="C322" s="4" t="n">
        <v>200</v>
      </c>
      <c r="D322" s="3" t="n">
        <v>0</v>
      </c>
      <c r="E322" s="5" t="inlineStr">
        <is>
          <t>Informational / Transactional</t>
        </is>
      </c>
      <c r="F322" s="5" t="inlineStr">
        <is>
          <t>LTO process / calculator page</t>
        </is>
      </c>
      <c r="G322" s="5" t="inlineStr">
        <is>
          <t>/ownership/renew-motorcycle-registration/</t>
        </is>
      </c>
      <c r="H322" s="6">
        <f>ROUND(MIN(100,LOG10(C322+1)*18+(10-D322)*2+IF(OR(E322="Commercial",E322="Informational / Transactional"),12,5)),0)</f>
        <v/>
      </c>
      <c r="I322" s="6">
        <f>IF(H322&gt;=85,"P1",IF(H322&gt;=70,"P2","P3"))</f>
        <v/>
      </c>
      <c r="J322" s="5" t="inlineStr">
        <is>
          <t>https://ahrefs.com/keywords-explorer</t>
        </is>
      </c>
    </row>
    <row r="323">
      <c r="A323" s="2" t="inlineStr">
        <is>
          <t>Ownership, LTO &amp; Insurance</t>
        </is>
      </c>
      <c r="B323" s="3" t="inlineStr">
        <is>
          <t>requirements for motorcycle registration</t>
        </is>
      </c>
      <c r="C323" s="4" t="n">
        <v>200</v>
      </c>
      <c r="D323" s="3" t="n">
        <v>0</v>
      </c>
      <c r="E323" s="5" t="inlineStr">
        <is>
          <t>Informational / Transactional</t>
        </is>
      </c>
      <c r="F323" s="5" t="inlineStr">
        <is>
          <t>LTO process / calculator page</t>
        </is>
      </c>
      <c r="G323" s="5" t="inlineStr">
        <is>
          <t>/ownership/requirements-for-motorcycle-registration/</t>
        </is>
      </c>
      <c r="H323" s="6">
        <f>ROUND(MIN(100,LOG10(C323+1)*18+(10-D323)*2+IF(OR(E323="Commercial",E323="Informational / Transactional"),12,5)),0)</f>
        <v/>
      </c>
      <c r="I323" s="6">
        <f>IF(H323&gt;=85,"P1",IF(H323&gt;=70,"P2","P3"))</f>
        <v/>
      </c>
      <c r="J323" s="5" t="inlineStr">
        <is>
          <t>https://ahrefs.com/keywords-explorer</t>
        </is>
      </c>
    </row>
    <row r="324">
      <c r="A324" s="2" t="inlineStr">
        <is>
          <t>Ownership, LTO &amp; Insurance</t>
        </is>
      </c>
      <c r="B324" s="3" t="inlineStr">
        <is>
          <t>comprehensive motorcycle insurance</t>
        </is>
      </c>
      <c r="C324" s="4" t="n">
        <v>150</v>
      </c>
      <c r="D324" s="3" t="n">
        <v>0</v>
      </c>
      <c r="E324" s="5" t="inlineStr">
        <is>
          <t>Commercial</t>
        </is>
      </c>
      <c r="F324" s="5" t="inlineStr">
        <is>
          <t>Insurance guide / lead page</t>
        </is>
      </c>
      <c r="G324" s="5" t="inlineStr">
        <is>
          <t>/ownership/comprehensive-motorcycle-insurance/</t>
        </is>
      </c>
      <c r="H324" s="6">
        <f>ROUND(MIN(100,LOG10(C324+1)*18+(10-D324)*2+IF(OR(E324="Commercial",E324="Informational / Transactional"),12,5)),0)</f>
        <v/>
      </c>
      <c r="I324" s="6">
        <f>IF(H324&gt;=85,"P1",IF(H324&gt;=70,"P2","P3"))</f>
        <v/>
      </c>
      <c r="J324" s="5" t="inlineStr">
        <is>
          <t>https://ahrefs.com/keywords-explorer</t>
        </is>
      </c>
    </row>
    <row r="325">
      <c r="A325" s="2" t="inlineStr">
        <is>
          <t>Ownership, LTO &amp; Insurance</t>
        </is>
      </c>
      <c r="B325" s="3" t="inlineStr">
        <is>
          <t>how much renewal of motorcycle registration</t>
        </is>
      </c>
      <c r="C325" s="4" t="n">
        <v>150</v>
      </c>
      <c r="D325" s="3" t="n">
        <v>0</v>
      </c>
      <c r="E325" s="5" t="inlineStr">
        <is>
          <t>Informational / Transactional</t>
        </is>
      </c>
      <c r="F325" s="5" t="inlineStr">
        <is>
          <t>LTO process / calculator page</t>
        </is>
      </c>
      <c r="G325" s="5" t="inlineStr">
        <is>
          <t>/ownership/how-much-renewal-of-motorcycle-registration/</t>
        </is>
      </c>
      <c r="H325" s="6">
        <f>ROUND(MIN(100,LOG10(C325+1)*18+(10-D325)*2+IF(OR(E325="Commercial",E325="Informational / Transactional"),12,5)),0)</f>
        <v/>
      </c>
      <c r="I325" s="6">
        <f>IF(H325&gt;=85,"P1",IF(H325&gt;=70,"P2","P3"))</f>
        <v/>
      </c>
      <c r="J325" s="5" t="inlineStr">
        <is>
          <t>https://ahrefs.com/keywords-explorer</t>
        </is>
      </c>
    </row>
    <row r="326">
      <c r="A326" s="2" t="inlineStr">
        <is>
          <t>Ownership, LTO &amp; Insurance</t>
        </is>
      </c>
      <c r="B326" s="3" t="inlineStr">
        <is>
          <t>how much to renew motorcycle registration</t>
        </is>
      </c>
      <c r="C326" s="4" t="n">
        <v>150</v>
      </c>
      <c r="D326" s="3" t="n">
        <v>0</v>
      </c>
      <c r="E326" s="5" t="inlineStr">
        <is>
          <t>Informational / Transactional</t>
        </is>
      </c>
      <c r="F326" s="5" t="inlineStr">
        <is>
          <t>LTO process / calculator page</t>
        </is>
      </c>
      <c r="G326" s="5" t="inlineStr">
        <is>
          <t>/ownership/how-much-to-renew-motorcycle-registration/</t>
        </is>
      </c>
      <c r="H326" s="6">
        <f>ROUND(MIN(100,LOG10(C326+1)*18+(10-D326)*2+IF(OR(E326="Commercial",E326="Informational / Transactional"),12,5)),0)</f>
        <v/>
      </c>
      <c r="I326" s="6">
        <f>IF(H326&gt;=85,"P1",IF(H326&gt;=70,"P2","P3"))</f>
        <v/>
      </c>
      <c r="J326" s="5" t="inlineStr">
        <is>
          <t>https://ahrefs.com/keywords-explorer</t>
        </is>
      </c>
    </row>
    <row r="327">
      <c r="A327" s="2" t="inlineStr">
        <is>
          <t>Ownership, LTO &amp; Insurance</t>
        </is>
      </c>
      <c r="B327" s="3" t="inlineStr">
        <is>
          <t>how to register motorcycle in lto</t>
        </is>
      </c>
      <c r="C327" s="4" t="n">
        <v>150</v>
      </c>
      <c r="D327" s="3" t="n">
        <v>0</v>
      </c>
      <c r="E327" s="5" t="inlineStr">
        <is>
          <t>Informational / Transactional</t>
        </is>
      </c>
      <c r="F327" s="5" t="inlineStr">
        <is>
          <t>LTO process / calculator page</t>
        </is>
      </c>
      <c r="G327" s="5" t="inlineStr">
        <is>
          <t>/ownership/how-to-register-motorcycle-in-lto/</t>
        </is>
      </c>
      <c r="H327" s="6">
        <f>ROUND(MIN(100,LOG10(C327+1)*18+(10-D327)*2+IF(OR(E327="Commercial",E327="Informational / Transactional"),12,5)),0)</f>
        <v/>
      </c>
      <c r="I327" s="6">
        <f>IF(H327&gt;=85,"P1",IF(H327&gt;=70,"P2","P3"))</f>
        <v/>
      </c>
      <c r="J327" s="5" t="inlineStr">
        <is>
          <t>https://ahrefs.com/keywords-explorer</t>
        </is>
      </c>
    </row>
    <row r="328">
      <c r="A328" s="2" t="inlineStr">
        <is>
          <t>Ownership, LTO &amp; Insurance</t>
        </is>
      </c>
      <c r="B328" s="3" t="inlineStr">
        <is>
          <t>insurance motorcycle</t>
        </is>
      </c>
      <c r="C328" s="4" t="n">
        <v>150</v>
      </c>
      <c r="D328" s="3" t="n">
        <v>0</v>
      </c>
      <c r="E328" s="5" t="inlineStr">
        <is>
          <t>Commercial</t>
        </is>
      </c>
      <c r="F328" s="5" t="inlineStr">
        <is>
          <t>Insurance guide / lead page</t>
        </is>
      </c>
      <c r="G328" s="5" t="inlineStr">
        <is>
          <t>/ownership/insurance-motorcycle/</t>
        </is>
      </c>
      <c r="H328" s="6">
        <f>ROUND(MIN(100,LOG10(C328+1)*18+(10-D328)*2+IF(OR(E328="Commercial",E328="Informational / Transactional"),12,5)),0)</f>
        <v/>
      </c>
      <c r="I328" s="6">
        <f>IF(H328&gt;=85,"P1",IF(H328&gt;=70,"P2","P3"))</f>
        <v/>
      </c>
      <c r="J328" s="5" t="inlineStr">
        <is>
          <t>https://ahrefs.com/keywords-explorer</t>
        </is>
      </c>
    </row>
    <row r="329">
      <c r="A329" s="2" t="inlineStr">
        <is>
          <t>Ownership, LTO &amp; Insurance</t>
        </is>
      </c>
      <c r="B329" s="3" t="inlineStr">
        <is>
          <t>lto dress code for motorcycle</t>
        </is>
      </c>
      <c r="C329" s="4" t="n">
        <v>150</v>
      </c>
      <c r="D329" s="3" t="n">
        <v>0</v>
      </c>
      <c r="E329" s="5" t="inlineStr">
        <is>
          <t>Informational</t>
        </is>
      </c>
      <c r="F329" s="5" t="inlineStr">
        <is>
          <t>LTO process / calculator page</t>
        </is>
      </c>
      <c r="G329" s="5" t="inlineStr">
        <is>
          <t>/ownership/lto-dress-code-for-motorcycle/</t>
        </is>
      </c>
      <c r="H329" s="6">
        <f>ROUND(MIN(100,LOG10(C329+1)*18+(10-D329)*2+IF(OR(E329="Commercial",E329="Informational / Transactional"),12,5)),0)</f>
        <v/>
      </c>
      <c r="I329" s="6">
        <f>IF(H329&gt;=85,"P1",IF(H329&gt;=70,"P2","P3"))</f>
        <v/>
      </c>
      <c r="J329" s="5" t="inlineStr">
        <is>
          <t>https://ahrefs.com/keywords-explorer</t>
        </is>
      </c>
    </row>
    <row r="330">
      <c r="A330" s="2" t="inlineStr">
        <is>
          <t>Ownership, LTO &amp; Insurance</t>
        </is>
      </c>
      <c r="B330" s="3" t="inlineStr">
        <is>
          <t>motorcycle registration renewal fee</t>
        </is>
      </c>
      <c r="C330" s="4" t="n">
        <v>150</v>
      </c>
      <c r="D330" s="3" t="n">
        <v>0</v>
      </c>
      <c r="E330" s="5" t="inlineStr">
        <is>
          <t>Informational / Transactional</t>
        </is>
      </c>
      <c r="F330" s="5" t="inlineStr">
        <is>
          <t>LTO process / calculator page</t>
        </is>
      </c>
      <c r="G330" s="5" t="inlineStr">
        <is>
          <t>/ownership/motorcycle-registration-renewal-fee/</t>
        </is>
      </c>
      <c r="H330" s="6">
        <f>ROUND(MIN(100,LOG10(C330+1)*18+(10-D330)*2+IF(OR(E330="Commercial",E330="Informational / Transactional"),12,5)),0)</f>
        <v/>
      </c>
      <c r="I330" s="6">
        <f>IF(H330&gt;=85,"P1",IF(H330&gt;=70,"P2","P3"))</f>
        <v/>
      </c>
      <c r="J330" s="5" t="inlineStr">
        <is>
          <t>https://ahrefs.com/keywords-explorer</t>
        </is>
      </c>
    </row>
    <row r="331">
      <c r="A331" s="2" t="inlineStr">
        <is>
          <t>Ownership, LTO &amp; Insurance</t>
        </is>
      </c>
      <c r="B331" s="3" t="inlineStr">
        <is>
          <t>motorcycle registration renewal requirements</t>
        </is>
      </c>
      <c r="C331" s="4" t="n">
        <v>150</v>
      </c>
      <c r="D331" s="3" t="n">
        <v>0</v>
      </c>
      <c r="E331" s="5" t="inlineStr">
        <is>
          <t>Informational / Transactional</t>
        </is>
      </c>
      <c r="F331" s="5" t="inlineStr">
        <is>
          <t>LTO process / calculator page</t>
        </is>
      </c>
      <c r="G331" s="5" t="inlineStr">
        <is>
          <t>/ownership/motorcycle-registration-renewal-requirements/</t>
        </is>
      </c>
      <c r="H331" s="6">
        <f>ROUND(MIN(100,LOG10(C331+1)*18+(10-D331)*2+IF(OR(E331="Commercial",E331="Informational / Transactional"),12,5)),0)</f>
        <v/>
      </c>
      <c r="I331" s="6">
        <f>IF(H331&gt;=85,"P1",IF(H331&gt;=70,"P2","P3"))</f>
        <v/>
      </c>
      <c r="J331" s="5" t="inlineStr">
        <is>
          <t>https://ahrefs.com/keywords-explorer</t>
        </is>
      </c>
    </row>
    <row r="332">
      <c r="A332" s="2" t="inlineStr">
        <is>
          <t>Ownership, LTO &amp; Insurance</t>
        </is>
      </c>
      <c r="B332" s="3" t="inlineStr">
        <is>
          <t>requirements for motorcycle registration renewal</t>
        </is>
      </c>
      <c r="C332" s="4" t="n">
        <v>150</v>
      </c>
      <c r="D332" s="3" t="n">
        <v>0</v>
      </c>
      <c r="E332" s="5" t="inlineStr">
        <is>
          <t>Informational / Transactional</t>
        </is>
      </c>
      <c r="F332" s="5" t="inlineStr">
        <is>
          <t>LTO process / calculator page</t>
        </is>
      </c>
      <c r="G332" s="5" t="inlineStr">
        <is>
          <t>/ownership/requirements-for-motorcycle-registration-renewal/</t>
        </is>
      </c>
      <c r="H332" s="6">
        <f>ROUND(MIN(100,LOG10(C332+1)*18+(10-D332)*2+IF(OR(E332="Commercial",E332="Informational / Transactional"),12,5)),0)</f>
        <v/>
      </c>
      <c r="I332" s="6">
        <f>IF(H332&gt;=85,"P1",IF(H332&gt;=70,"P2","P3"))</f>
        <v/>
      </c>
      <c r="J332" s="5" t="inlineStr">
        <is>
          <t>https://ahrefs.com/keywords-explorer</t>
        </is>
      </c>
    </row>
    <row r="333">
      <c r="A333" s="2" t="inlineStr">
        <is>
          <t>Ownership, LTO &amp; Insurance</t>
        </is>
      </c>
      <c r="B333" s="3" t="inlineStr">
        <is>
          <t>requirements for renewal of motorcycle registration</t>
        </is>
      </c>
      <c r="C333" s="4" t="n">
        <v>150</v>
      </c>
      <c r="D333" s="3" t="n">
        <v>0</v>
      </c>
      <c r="E333" s="5" t="inlineStr">
        <is>
          <t>Informational / Transactional</t>
        </is>
      </c>
      <c r="F333" s="5" t="inlineStr">
        <is>
          <t>LTO process / calculator page</t>
        </is>
      </c>
      <c r="G333" s="5" t="inlineStr">
        <is>
          <t>/ownership/requirements-for-renewal-of-motorcycle-registration/</t>
        </is>
      </c>
      <c r="H333" s="6">
        <f>ROUND(MIN(100,LOG10(C333+1)*18+(10-D333)*2+IF(OR(E333="Commercial",E333="Informational / Transactional"),12,5)),0)</f>
        <v/>
      </c>
      <c r="I333" s="6">
        <f>IF(H333&gt;=85,"P1",IF(H333&gt;=70,"P2","P3"))</f>
        <v/>
      </c>
      <c r="J333" s="5" t="inlineStr">
        <is>
          <t>https://ahrefs.com/keywords-explorer</t>
        </is>
      </c>
    </row>
    <row r="334">
      <c r="A334" s="2" t="inlineStr">
        <is>
          <t>Ownership, LTO &amp; Insurance</t>
        </is>
      </c>
      <c r="B334" s="3" t="inlineStr">
        <is>
          <t>when to renew motorcycle registration</t>
        </is>
      </c>
      <c r="C334" s="4" t="n">
        <v>150</v>
      </c>
      <c r="D334" s="3" t="n">
        <v>0</v>
      </c>
      <c r="E334" s="5" t="inlineStr">
        <is>
          <t>Informational / Transactional</t>
        </is>
      </c>
      <c r="F334" s="5" t="inlineStr">
        <is>
          <t>LTO process / calculator page</t>
        </is>
      </c>
      <c r="G334" s="5" t="inlineStr">
        <is>
          <t>/ownership/when-to-renew-motorcycle-registration/</t>
        </is>
      </c>
      <c r="H334" s="6">
        <f>ROUND(MIN(100,LOG10(C334+1)*18+(10-D334)*2+IF(OR(E334="Commercial",E334="Informational / Transactional"),12,5)),0)</f>
        <v/>
      </c>
      <c r="I334" s="6">
        <f>IF(H334&gt;=85,"P1",IF(H334&gt;=70,"P2","P3"))</f>
        <v/>
      </c>
      <c r="J334" s="5" t="inlineStr">
        <is>
          <t>https://ahrefs.com/keywords-explorer</t>
        </is>
      </c>
    </row>
    <row r="335">
      <c r="A335" s="2" t="inlineStr">
        <is>
          <t>Ownership, LTO &amp; Insurance</t>
        </is>
      </c>
      <c r="B335" s="3" t="inlineStr">
        <is>
          <t>cebuana lhuillier motorcycle insurance</t>
        </is>
      </c>
      <c r="C335" s="4" t="n">
        <v>100</v>
      </c>
      <c r="D335" s="3" t="n">
        <v>0</v>
      </c>
      <c r="E335" s="5" t="inlineStr">
        <is>
          <t>Commercial</t>
        </is>
      </c>
      <c r="F335" s="5" t="inlineStr">
        <is>
          <t>Insurance guide / lead page</t>
        </is>
      </c>
      <c r="G335" s="5" t="inlineStr">
        <is>
          <t>/ownership/cebuana-lhuillier-motorcycle-insurance/</t>
        </is>
      </c>
      <c r="H335" s="6">
        <f>ROUND(MIN(100,LOG10(C335+1)*18+(10-D335)*2+IF(OR(E335="Commercial",E335="Informational / Transactional"),12,5)),0)</f>
        <v/>
      </c>
      <c r="I335" s="6">
        <f>IF(H335&gt;=85,"P1",IF(H335&gt;=70,"P2","P3"))</f>
        <v/>
      </c>
      <c r="J335" s="5" t="inlineStr">
        <is>
          <t>https://ahrefs.com/keywords-explorer</t>
        </is>
      </c>
    </row>
    <row r="336">
      <c r="A336" s="2" t="inlineStr">
        <is>
          <t>Ownership, LTO &amp; Insurance</t>
        </is>
      </c>
      <c r="B336" s="3" t="inlineStr">
        <is>
          <t>expired motorcycle registration penalty</t>
        </is>
      </c>
      <c r="C336" s="4" t="n">
        <v>100</v>
      </c>
      <c r="D336" s="3" t="n">
        <v>0</v>
      </c>
      <c r="E336" s="5" t="inlineStr">
        <is>
          <t>Informational / Transactional</t>
        </is>
      </c>
      <c r="F336" s="5" t="inlineStr">
        <is>
          <t>LTO process / calculator page</t>
        </is>
      </c>
      <c r="G336" s="5" t="inlineStr">
        <is>
          <t>/ownership/expired-motorcycle-registration-penalty/</t>
        </is>
      </c>
      <c r="H336" s="6">
        <f>ROUND(MIN(100,LOG10(C336+1)*18+(10-D336)*2+IF(OR(E336="Commercial",E336="Informational / Transactional"),12,5)),0)</f>
        <v/>
      </c>
      <c r="I336" s="6">
        <f>IF(H336&gt;=85,"P1",IF(H336&gt;=70,"P2","P3"))</f>
        <v/>
      </c>
      <c r="J336" s="5" t="inlineStr">
        <is>
          <t>https://ahrefs.com/keywords-explorer</t>
        </is>
      </c>
    </row>
    <row r="337">
      <c r="A337" s="2" t="inlineStr">
        <is>
          <t>Ownership, LTO &amp; Insurance</t>
        </is>
      </c>
      <c r="B337" s="3" t="inlineStr">
        <is>
          <t>how much is motorcycle registration</t>
        </is>
      </c>
      <c r="C337" s="4" t="n">
        <v>100</v>
      </c>
      <c r="D337" s="3" t="n">
        <v>0</v>
      </c>
      <c r="E337" s="5" t="inlineStr">
        <is>
          <t>Informational / Transactional</t>
        </is>
      </c>
      <c r="F337" s="5" t="inlineStr">
        <is>
          <t>LTO process / calculator page</t>
        </is>
      </c>
      <c r="G337" s="5" t="inlineStr">
        <is>
          <t>/ownership/how-much-is-motorcycle-registration/</t>
        </is>
      </c>
      <c r="H337" s="6">
        <f>ROUND(MIN(100,LOG10(C337+1)*18+(10-D337)*2+IF(OR(E337="Commercial",E337="Informational / Transactional"),12,5)),0)</f>
        <v/>
      </c>
      <c r="I337" s="6">
        <f>IF(H337&gt;=85,"P1",IF(H337&gt;=70,"P2","P3"))</f>
        <v/>
      </c>
      <c r="J337" s="5" t="inlineStr">
        <is>
          <t>https://ahrefs.com/keywords-explorer</t>
        </is>
      </c>
    </row>
    <row r="338">
      <c r="A338" s="2" t="inlineStr">
        <is>
          <t>Ownership, LTO &amp; Insurance</t>
        </is>
      </c>
      <c r="B338" s="3" t="inlineStr">
        <is>
          <t>how much motorcycle registration</t>
        </is>
      </c>
      <c r="C338" s="4" t="n">
        <v>100</v>
      </c>
      <c r="D338" s="3" t="n">
        <v>0</v>
      </c>
      <c r="E338" s="5" t="inlineStr">
        <is>
          <t>Informational / Transactional</t>
        </is>
      </c>
      <c r="F338" s="5" t="inlineStr">
        <is>
          <t>LTO process / calculator page</t>
        </is>
      </c>
      <c r="G338" s="5" t="inlineStr">
        <is>
          <t>/ownership/how-much-motorcycle-registration/</t>
        </is>
      </c>
      <c r="H338" s="6">
        <f>ROUND(MIN(100,LOG10(C338+1)*18+(10-D338)*2+IF(OR(E338="Commercial",E338="Informational / Transactional"),12,5)),0)</f>
        <v/>
      </c>
      <c r="I338" s="6">
        <f>IF(H338&gt;=85,"P1",IF(H338&gt;=70,"P2","P3"))</f>
        <v/>
      </c>
      <c r="J338" s="5" t="inlineStr">
        <is>
          <t>https://ahrefs.com/keywords-explorer</t>
        </is>
      </c>
    </row>
    <row r="339">
      <c r="A339" s="2" t="inlineStr">
        <is>
          <t>Ownership, LTO &amp; Insurance</t>
        </is>
      </c>
      <c r="B339" s="3" t="inlineStr">
        <is>
          <t>how to check motorcycle registration</t>
        </is>
      </c>
      <c r="C339" s="4" t="n">
        <v>100</v>
      </c>
      <c r="D339" s="3" t="n">
        <v>0</v>
      </c>
      <c r="E339" s="5" t="inlineStr">
        <is>
          <t>Informational / Transactional</t>
        </is>
      </c>
      <c r="F339" s="5" t="inlineStr">
        <is>
          <t>LTO process / calculator page</t>
        </is>
      </c>
      <c r="G339" s="5" t="inlineStr">
        <is>
          <t>/ownership/how-to-check-motorcycle-registration/</t>
        </is>
      </c>
      <c r="H339" s="6">
        <f>ROUND(MIN(100,LOG10(C339+1)*18+(10-D339)*2+IF(OR(E339="Commercial",E339="Informational / Transactional"),12,5)),0)</f>
        <v/>
      </c>
      <c r="I339" s="6">
        <f>IF(H339&gt;=85,"P1",IF(H339&gt;=70,"P2","P3"))</f>
        <v/>
      </c>
      <c r="J339" s="5" t="inlineStr">
        <is>
          <t>https://ahrefs.com/keywords-explorer</t>
        </is>
      </c>
    </row>
    <row r="340">
      <c r="A340" s="2" t="inlineStr">
        <is>
          <t>Ownership, LTO &amp; Insurance</t>
        </is>
      </c>
      <c r="B340" s="3" t="inlineStr">
        <is>
          <t>how to renew registration of motorcycle</t>
        </is>
      </c>
      <c r="C340" s="4" t="n">
        <v>100</v>
      </c>
      <c r="D340" s="3" t="n">
        <v>0</v>
      </c>
      <c r="E340" s="5" t="inlineStr">
        <is>
          <t>Informational / Transactional</t>
        </is>
      </c>
      <c r="F340" s="5" t="inlineStr">
        <is>
          <t>LTO process / calculator page</t>
        </is>
      </c>
      <c r="G340" s="5" t="inlineStr">
        <is>
          <t>/ownership/how-to-renew-registration-of-motorcycle/</t>
        </is>
      </c>
      <c r="H340" s="6">
        <f>ROUND(MIN(100,LOG10(C340+1)*18+(10-D340)*2+IF(OR(E340="Commercial",E340="Informational / Transactional"),12,5)),0)</f>
        <v/>
      </c>
      <c r="I340" s="6">
        <f>IF(H340&gt;=85,"P1",IF(H340&gt;=70,"P2","P3"))</f>
        <v/>
      </c>
      <c r="J340" s="5" t="inlineStr">
        <is>
          <t>https://ahrefs.com/keywords-explorer</t>
        </is>
      </c>
    </row>
    <row r="341">
      <c r="A341" s="2" t="inlineStr">
        <is>
          <t>Ownership, LTO &amp; Insurance</t>
        </is>
      </c>
      <c r="B341" s="3" t="inlineStr">
        <is>
          <t>lto requirements for transfer of ownership motorcycle</t>
        </is>
      </c>
      <c r="C341" s="4" t="n">
        <v>100</v>
      </c>
      <c r="D341" s="3" t="n">
        <v>0</v>
      </c>
      <c r="E341" s="5" t="inlineStr">
        <is>
          <t>Informational / Transactional</t>
        </is>
      </c>
      <c r="F341" s="5" t="inlineStr">
        <is>
          <t>LTO process / calculator page</t>
        </is>
      </c>
      <c r="G341" s="5" t="inlineStr">
        <is>
          <t>/ownership/lto-requirements-for-transfer-of-ownership-motorcycle/</t>
        </is>
      </c>
      <c r="H341" s="6">
        <f>ROUND(MIN(100,LOG10(C341+1)*18+(10-D341)*2+IF(OR(E341="Commercial",E341="Informational / Transactional"),12,5)),0)</f>
        <v/>
      </c>
      <c r="I341" s="6">
        <f>IF(H341&gt;=85,"P1",IF(H341&gt;=70,"P2","P3"))</f>
        <v/>
      </c>
      <c r="J341" s="5" t="inlineStr">
        <is>
          <t>https://ahrefs.com/keywords-explorer</t>
        </is>
      </c>
    </row>
    <row r="342">
      <c r="A342" s="2" t="inlineStr">
        <is>
          <t>Ownership, LTO &amp; Insurance</t>
        </is>
      </c>
      <c r="B342" s="3" t="inlineStr">
        <is>
          <t>motorcycle insurance cebuana</t>
        </is>
      </c>
      <c r="C342" s="4" t="n">
        <v>100</v>
      </c>
      <c r="D342" s="3" t="n">
        <v>0</v>
      </c>
      <c r="E342" s="5" t="inlineStr">
        <is>
          <t>Commercial</t>
        </is>
      </c>
      <c r="F342" s="5" t="inlineStr">
        <is>
          <t>Insurance guide / lead page</t>
        </is>
      </c>
      <c r="G342" s="5" t="inlineStr">
        <is>
          <t>/ownership/motorcycle-insurance-cebuana/</t>
        </is>
      </c>
      <c r="H342" s="6">
        <f>ROUND(MIN(100,LOG10(C342+1)*18+(10-D342)*2+IF(OR(E342="Commercial",E342="Informational / Transactional"),12,5)),0)</f>
        <v/>
      </c>
      <c r="I342" s="6">
        <f>IF(H342&gt;=85,"P1",IF(H342&gt;=70,"P2","P3"))</f>
        <v/>
      </c>
      <c r="J342" s="5" t="inlineStr">
        <is>
          <t>https://ahrefs.com/keywords-explorer</t>
        </is>
      </c>
    </row>
    <row r="343">
      <c r="A343" s="2" t="inlineStr">
        <is>
          <t>Ownership, LTO &amp; Insurance</t>
        </is>
      </c>
      <c r="B343" s="3" t="inlineStr">
        <is>
          <t>motorcycle plate number registration</t>
        </is>
      </c>
      <c r="C343" s="4" t="n">
        <v>100</v>
      </c>
      <c r="D343" s="3" t="n">
        <v>9</v>
      </c>
      <c r="E343" s="5" t="inlineStr">
        <is>
          <t>Informational / Transactional</t>
        </is>
      </c>
      <c r="F343" s="5" t="inlineStr">
        <is>
          <t>LTO process / calculator page</t>
        </is>
      </c>
      <c r="G343" s="5" t="inlineStr">
        <is>
          <t>/ownership/motorcycle-plate-number-registration/</t>
        </is>
      </c>
      <c r="H343" s="6">
        <f>ROUND(MIN(100,LOG10(C343+1)*18+(10-D343)*2+IF(OR(E343="Commercial",E343="Informational / Transactional"),12,5)),0)</f>
        <v/>
      </c>
      <c r="I343" s="6">
        <f>IF(H343&gt;=85,"P1",IF(H343&gt;=70,"P2","P3"))</f>
        <v/>
      </c>
      <c r="J343" s="5" t="inlineStr">
        <is>
          <t>https://ahrefs.com/keywords-explorer</t>
        </is>
      </c>
    </row>
    <row r="344">
      <c r="A344" s="2" t="inlineStr">
        <is>
          <t>Ownership, LTO &amp; Insurance</t>
        </is>
      </c>
      <c r="B344" s="3" t="inlineStr">
        <is>
          <t>motorcycle registration renewal price</t>
        </is>
      </c>
      <c r="C344" s="4" t="n">
        <v>100</v>
      </c>
      <c r="D344" s="3" t="n">
        <v>0</v>
      </c>
      <c r="E344" s="5" t="inlineStr">
        <is>
          <t>Commercial</t>
        </is>
      </c>
      <c r="F344" s="5" t="inlineStr">
        <is>
          <t>LTO process / calculator page</t>
        </is>
      </c>
      <c r="G344" s="5" t="inlineStr">
        <is>
          <t>/ownership/motorcycle-registration-renewal-price/</t>
        </is>
      </c>
      <c r="H344" s="6">
        <f>ROUND(MIN(100,LOG10(C344+1)*18+(10-D344)*2+IF(OR(E344="Commercial",E344="Informational / Transactional"),12,5)),0)</f>
        <v/>
      </c>
      <c r="I344" s="6">
        <f>IF(H344&gt;=85,"P1",IF(H344&gt;=70,"P2","P3"))</f>
        <v/>
      </c>
      <c r="J344" s="5" t="inlineStr">
        <is>
          <t>https://ahrefs.com/keywords-explorer</t>
        </is>
      </c>
    </row>
    <row r="345">
      <c r="A345" s="2" t="inlineStr">
        <is>
          <t>Ownership, LTO &amp; Insurance</t>
        </is>
      </c>
      <c r="B345" s="3" t="inlineStr">
        <is>
          <t>penalty for late registration of motorcycle</t>
        </is>
      </c>
      <c r="C345" s="4" t="n">
        <v>100</v>
      </c>
      <c r="D345" s="3" t="n">
        <v>0</v>
      </c>
      <c r="E345" s="5" t="inlineStr">
        <is>
          <t>Informational / Transactional</t>
        </is>
      </c>
      <c r="F345" s="5" t="inlineStr">
        <is>
          <t>LTO process / calculator page</t>
        </is>
      </c>
      <c r="G345" s="5" t="inlineStr">
        <is>
          <t>/ownership/penalty-for-late-registration-of-motorcycle/</t>
        </is>
      </c>
      <c r="H345" s="6">
        <f>ROUND(MIN(100,LOG10(C345+1)*18+(10-D345)*2+IF(OR(E345="Commercial",E345="Informational / Transactional"),12,5)),0)</f>
        <v/>
      </c>
      <c r="I345" s="6">
        <f>IF(H345&gt;=85,"P1",IF(H345&gt;=70,"P2","P3"))</f>
        <v/>
      </c>
      <c r="J345" s="5" t="inlineStr">
        <is>
          <t>https://ahrefs.com/keywords-explorer</t>
        </is>
      </c>
    </row>
    <row r="346">
      <c r="A346" s="2" t="inlineStr">
        <is>
          <t>Ownership, LTO &amp; Insurance</t>
        </is>
      </c>
      <c r="B346" s="3" t="inlineStr">
        <is>
          <t>requirements for registration of motorcycle</t>
        </is>
      </c>
      <c r="C346" s="4" t="n">
        <v>100</v>
      </c>
      <c r="D346" s="3" t="n">
        <v>0</v>
      </c>
      <c r="E346" s="5" t="inlineStr">
        <is>
          <t>Informational / Transactional</t>
        </is>
      </c>
      <c r="F346" s="5" t="inlineStr">
        <is>
          <t>LTO process / calculator page</t>
        </is>
      </c>
      <c r="G346" s="5" t="inlineStr">
        <is>
          <t>/ownership/requirements-for-registration-of-motorcycle/</t>
        </is>
      </c>
      <c r="H346" s="6">
        <f>ROUND(MIN(100,LOG10(C346+1)*18+(10-D346)*2+IF(OR(E346="Commercial",E346="Informational / Transactional"),12,5)),0)</f>
        <v/>
      </c>
      <c r="I346" s="6">
        <f>IF(H346&gt;=85,"P1",IF(H346&gt;=70,"P2","P3"))</f>
        <v/>
      </c>
      <c r="J346" s="5" t="inlineStr">
        <is>
          <t>https://ahrefs.com/keywords-explorer</t>
        </is>
      </c>
    </row>
    <row r="347">
      <c r="A347" s="2" t="inlineStr">
        <is>
          <t>Ownership, LTO &amp; Insurance</t>
        </is>
      </c>
      <c r="B347" s="3" t="inlineStr">
        <is>
          <t>top box motorcycle lto</t>
        </is>
      </c>
      <c r="C347" s="4" t="n">
        <v>70</v>
      </c>
      <c r="D347" s="3" t="n">
        <v>0</v>
      </c>
      <c r="E347" s="5" t="inlineStr">
        <is>
          <t>Commercial</t>
        </is>
      </c>
      <c r="F347" s="5" t="inlineStr">
        <is>
          <t>LTO process / calculator page</t>
        </is>
      </c>
      <c r="G347" s="5" t="inlineStr">
        <is>
          <t>/ownership/top-box-motorcycle-lto/</t>
        </is>
      </c>
      <c r="H347" s="6">
        <f>ROUND(MIN(100,LOG10(C347+1)*18+(10-D347)*2+IF(OR(E347="Commercial",E347="Informational / Transactional"),12,5)),0)</f>
        <v/>
      </c>
      <c r="I347" s="6">
        <f>IF(H347&gt;=85,"P1",IF(H347&gt;=70,"P2","P3"))</f>
        <v/>
      </c>
      <c r="J347" s="5" t="inlineStr">
        <is>
          <t>https://ahrefs.com/keywords-explorer</t>
        </is>
      </c>
    </row>
    <row r="348">
      <c r="A348" s="2" t="inlineStr">
        <is>
          <t>Comparisons &amp; Buying Guides</t>
        </is>
      </c>
      <c r="B348" s="3" t="inlineStr">
        <is>
          <t>helmet brands</t>
        </is>
      </c>
      <c r="C348" s="4" t="n">
        <v>2300</v>
      </c>
      <c r="D348" s="3" t="n">
        <v>0</v>
      </c>
      <c r="E348" s="5" t="inlineStr">
        <is>
          <t>Commercial</t>
        </is>
      </c>
      <c r="F348" s="5" t="inlineStr">
        <is>
          <t>Comparison / best-of page</t>
        </is>
      </c>
      <c r="G348" s="5" t="inlineStr">
        <is>
          <t>/compare/helmet-brands/</t>
        </is>
      </c>
      <c r="H348" s="6">
        <f>ROUND(MIN(100,LOG10(C348+1)*18+(10-D348)*2+IF(OR(E348="Commercial",E348="Informational / Transactional"),12,5)),0)</f>
        <v/>
      </c>
      <c r="I348" s="6">
        <f>IF(H348&gt;=85,"P1",IF(H348&gt;=70,"P2","P3"))</f>
        <v/>
      </c>
      <c r="J348" s="5" t="inlineStr">
        <is>
          <t>https://ahrefs.com/keywords-explorer</t>
        </is>
      </c>
    </row>
    <row r="349">
      <c r="A349" s="2" t="inlineStr">
        <is>
          <t>Comparisons &amp; Buying Guides</t>
        </is>
      </c>
      <c r="B349" s="3" t="inlineStr">
        <is>
          <t>helmet brands philippines</t>
        </is>
      </c>
      <c r="C349" s="4" t="n">
        <v>600</v>
      </c>
      <c r="D349" s="3" t="n">
        <v>0</v>
      </c>
      <c r="E349" s="5" t="inlineStr">
        <is>
          <t>Commercial</t>
        </is>
      </c>
      <c r="F349" s="5" t="inlineStr">
        <is>
          <t>Comparison / best-of page</t>
        </is>
      </c>
      <c r="G349" s="5" t="inlineStr">
        <is>
          <t>/compare/helmet-brands-philippines/</t>
        </is>
      </c>
      <c r="H349" s="6">
        <f>ROUND(MIN(100,LOG10(C349+1)*18+(10-D349)*2+IF(OR(E349="Commercial",E349="Informational / Transactional"),12,5)),0)</f>
        <v/>
      </c>
      <c r="I349" s="6">
        <f>IF(H349&gt;=85,"P1",IF(H349&gt;=70,"P2","P3"))</f>
        <v/>
      </c>
      <c r="J349" s="5" t="inlineStr">
        <is>
          <t>https://ahrefs.com/keywords-explorer</t>
        </is>
      </c>
    </row>
    <row r="350">
      <c r="A350" s="2" t="inlineStr">
        <is>
          <t>Comparisons &amp; Buying Guides</t>
        </is>
      </c>
      <c r="B350" s="3" t="inlineStr">
        <is>
          <t>best helmet brands</t>
        </is>
      </c>
      <c r="C350" s="4" t="n">
        <v>500</v>
      </c>
      <c r="D350" s="3" t="n">
        <v>0</v>
      </c>
      <c r="E350" s="5" t="inlineStr">
        <is>
          <t>Commercial</t>
        </is>
      </c>
      <c r="F350" s="5" t="inlineStr">
        <is>
          <t>Comparison / best-of page</t>
        </is>
      </c>
      <c r="G350" s="5" t="inlineStr">
        <is>
          <t>/compare/best-helmet-brands/</t>
        </is>
      </c>
      <c r="H350" s="6">
        <f>ROUND(MIN(100,LOG10(C350+1)*18+(10-D350)*2+IF(OR(E350="Commercial",E350="Informational / Transactional"),12,5)),0)</f>
        <v/>
      </c>
      <c r="I350" s="6">
        <f>IF(H350&gt;=85,"P1",IF(H350&gt;=70,"P2","P3"))</f>
        <v/>
      </c>
      <c r="J350" s="5" t="inlineStr">
        <is>
          <t>https://ahrefs.com/keywords-explorer</t>
        </is>
      </c>
    </row>
    <row r="351">
      <c r="A351" s="2" t="inlineStr">
        <is>
          <t>Comparisons &amp; Buying Guides</t>
        </is>
      </c>
      <c r="B351" s="3" t="inlineStr">
        <is>
          <t>aerox vs nmax</t>
        </is>
      </c>
      <c r="C351" s="4" t="n">
        <v>450</v>
      </c>
      <c r="D351" s="3" t="n">
        <v>0</v>
      </c>
      <c r="E351" s="5" t="inlineStr">
        <is>
          <t>Commercial</t>
        </is>
      </c>
      <c r="F351" s="5" t="inlineStr">
        <is>
          <t>Comparison / best-of page</t>
        </is>
      </c>
      <c r="G351" s="5" t="inlineStr">
        <is>
          <t>/compare/aerox-vs-nmax/</t>
        </is>
      </c>
      <c r="H351" s="6">
        <f>ROUND(MIN(100,LOG10(C351+1)*18+(10-D351)*2+IF(OR(E351="Commercial",E351="Informational / Transactional"),12,5)),0)</f>
        <v/>
      </c>
      <c r="I351" s="6">
        <f>IF(H351&gt;=85,"P1",IF(H351&gt;=70,"P2","P3"))</f>
        <v/>
      </c>
      <c r="J351" s="5" t="inlineStr">
        <is>
          <t>https://ahrefs.com/keywords-explorer</t>
        </is>
      </c>
    </row>
    <row r="352">
      <c r="A352" s="2" t="inlineStr">
        <is>
          <t>Comparisons &amp; Buying Guides</t>
        </is>
      </c>
      <c r="B352" s="3" t="inlineStr">
        <is>
          <t>top helmet brands</t>
        </is>
      </c>
      <c r="C352" s="4" t="n">
        <v>450</v>
      </c>
      <c r="D352" s="3" t="n">
        <v>1</v>
      </c>
      <c r="E352" s="5" t="inlineStr">
        <is>
          <t>Commercial</t>
        </is>
      </c>
      <c r="F352" s="5" t="inlineStr">
        <is>
          <t>Comparison / best-of page</t>
        </is>
      </c>
      <c r="G352" s="5" t="inlineStr">
        <is>
          <t>/compare/top-helmet-brands/</t>
        </is>
      </c>
      <c r="H352" s="6">
        <f>ROUND(MIN(100,LOG10(C352+1)*18+(10-D352)*2+IF(OR(E352="Commercial",E352="Informational / Transactional"),12,5)),0)</f>
        <v/>
      </c>
      <c r="I352" s="6">
        <f>IF(H352&gt;=85,"P1",IF(H352&gt;=70,"P2","P3"))</f>
        <v/>
      </c>
      <c r="J352" s="5" t="inlineStr">
        <is>
          <t>https://ahrefs.com/keywords-explorer</t>
        </is>
      </c>
    </row>
    <row r="353">
      <c r="A353" s="2" t="inlineStr">
        <is>
          <t>Comparisons &amp; Buying Guides</t>
        </is>
      </c>
      <c r="B353" s="3" t="inlineStr">
        <is>
          <t>nmax vs aerox</t>
        </is>
      </c>
      <c r="C353" s="4" t="n">
        <v>400</v>
      </c>
      <c r="D353" s="3" t="n">
        <v>0</v>
      </c>
      <c r="E353" s="5" t="inlineStr">
        <is>
          <t>Commercial</t>
        </is>
      </c>
      <c r="F353" s="5" t="inlineStr">
        <is>
          <t>Comparison / best-of page</t>
        </is>
      </c>
      <c r="G353" s="5" t="inlineStr">
        <is>
          <t>/compare/nmax-vs-aerox/</t>
        </is>
      </c>
      <c r="H353" s="6">
        <f>ROUND(MIN(100,LOG10(C353+1)*18+(10-D353)*2+IF(OR(E353="Commercial",E353="Informational / Transactional"),12,5)),0)</f>
        <v/>
      </c>
      <c r="I353" s="6">
        <f>IF(H353&gt;=85,"P1",IF(H353&gt;=70,"P2","P3"))</f>
        <v/>
      </c>
      <c r="J353" s="5" t="inlineStr">
        <is>
          <t>https://ahrefs.com/keywords-explorer</t>
        </is>
      </c>
    </row>
    <row r="354">
      <c r="A354" s="2" t="inlineStr">
        <is>
          <t>Comparisons &amp; Buying Guides</t>
        </is>
      </c>
      <c r="B354" s="3" t="inlineStr">
        <is>
          <t>top 10 helmet brands</t>
        </is>
      </c>
      <c r="C354" s="4" t="n">
        <v>400</v>
      </c>
      <c r="D354" s="3" t="n">
        <v>0</v>
      </c>
      <c r="E354" s="5" t="inlineStr">
        <is>
          <t>Commercial</t>
        </is>
      </c>
      <c r="F354" s="5" t="inlineStr">
        <is>
          <t>Comparison / best-of page</t>
        </is>
      </c>
      <c r="G354" s="5" t="inlineStr">
        <is>
          <t>/compare/top-10-helmet-brands/</t>
        </is>
      </c>
      <c r="H354" s="6">
        <f>ROUND(MIN(100,LOG10(C354+1)*18+(10-D354)*2+IF(OR(E354="Commercial",E354="Informational / Transactional"),12,5)),0)</f>
        <v/>
      </c>
      <c r="I354" s="6">
        <f>IF(H354&gt;=85,"P1",IF(H354&gt;=70,"P2","P3"))</f>
        <v/>
      </c>
      <c r="J354" s="5" t="inlineStr">
        <is>
          <t>https://ahrefs.com/keywords-explorer</t>
        </is>
      </c>
    </row>
    <row r="355">
      <c r="A355" s="2" t="inlineStr">
        <is>
          <t>Comparisons &amp; Buying Guides</t>
        </is>
      </c>
      <c r="B355" s="3" t="inlineStr">
        <is>
          <t>pcx vs adv</t>
        </is>
      </c>
      <c r="C355" s="4" t="n">
        <v>300</v>
      </c>
      <c r="D355" s="3" t="n">
        <v>0</v>
      </c>
      <c r="E355" s="5" t="inlineStr">
        <is>
          <t>Commercial</t>
        </is>
      </c>
      <c r="F355" s="5" t="inlineStr">
        <is>
          <t>Comparison / best-of page</t>
        </is>
      </c>
      <c r="G355" s="5" t="inlineStr">
        <is>
          <t>/compare/pcx-vs-adv/</t>
        </is>
      </c>
      <c r="H355" s="6">
        <f>ROUND(MIN(100,LOG10(C355+1)*18+(10-D355)*2+IF(OR(E355="Commercial",E355="Informational / Transactional"),12,5)),0)</f>
        <v/>
      </c>
      <c r="I355" s="6">
        <f>IF(H355&gt;=85,"P1",IF(H355&gt;=70,"P2","P3"))</f>
        <v/>
      </c>
      <c r="J355" s="5" t="inlineStr">
        <is>
          <t>https://ahrefs.com/keywords-explorer</t>
        </is>
      </c>
    </row>
    <row r="356">
      <c r="A356" s="2" t="inlineStr">
        <is>
          <t>Comparisons &amp; Buying Guides</t>
        </is>
      </c>
      <c r="B356" s="3" t="inlineStr">
        <is>
          <t>best tire for motorcycle</t>
        </is>
      </c>
      <c r="C356" s="4" t="n">
        <v>250</v>
      </c>
      <c r="D356" s="3" t="n">
        <v>0</v>
      </c>
      <c r="E356" s="5" t="inlineStr">
        <is>
          <t>Commercial</t>
        </is>
      </c>
      <c r="F356" s="5" t="inlineStr">
        <is>
          <t>Comparison / best-of page</t>
        </is>
      </c>
      <c r="G356" s="5" t="inlineStr">
        <is>
          <t>/compare/best-tire-for-motorcycle/</t>
        </is>
      </c>
      <c r="H356" s="6">
        <f>ROUND(MIN(100,LOG10(C356+1)*18+(10-D356)*2+IF(OR(E356="Commercial",E356="Informational / Transactional"),12,5)),0)</f>
        <v/>
      </c>
      <c r="I356" s="6">
        <f>IF(H356&gt;=85,"P1",IF(H356&gt;=70,"P2","P3"))</f>
        <v/>
      </c>
      <c r="J356" s="5" t="inlineStr">
        <is>
          <t>https://ahrefs.com/keywords-explorer</t>
        </is>
      </c>
    </row>
    <row r="357">
      <c r="A357" s="2" t="inlineStr">
        <is>
          <t>Comparisons &amp; Buying Guides</t>
        </is>
      </c>
      <c r="B357" s="3" t="inlineStr">
        <is>
          <t>motorcycle comparison</t>
        </is>
      </c>
      <c r="C357" s="4" t="n">
        <v>250</v>
      </c>
      <c r="D357" s="3" t="n">
        <v>0</v>
      </c>
      <c r="E357" s="5" t="inlineStr">
        <is>
          <t>Commercial</t>
        </is>
      </c>
      <c r="F357" s="5" t="inlineStr">
        <is>
          <t>Comparison / best-of page</t>
        </is>
      </c>
      <c r="G357" s="5" t="inlineStr">
        <is>
          <t>/compare/motorcycle-comparison/</t>
        </is>
      </c>
      <c r="H357" s="6">
        <f>ROUND(MIN(100,LOG10(C357+1)*18+(10-D357)*2+IF(OR(E357="Commercial",E357="Informational / Transactional"),12,5)),0)</f>
        <v/>
      </c>
      <c r="I357" s="6">
        <f>IF(H357&gt;=85,"P1",IF(H357&gt;=70,"P2","P3"))</f>
        <v/>
      </c>
      <c r="J357" s="5" t="inlineStr">
        <is>
          <t>https://ahrefs.com/keywords-explorer</t>
        </is>
      </c>
    </row>
    <row r="358">
      <c r="A358" s="2" t="inlineStr">
        <is>
          <t>Comparisons &amp; Buying Guides</t>
        </is>
      </c>
      <c r="B358" s="3" t="inlineStr">
        <is>
          <t>adv vs pcx</t>
        </is>
      </c>
      <c r="C358" s="4" t="n">
        <v>200</v>
      </c>
      <c r="D358" s="3" t="n">
        <v>0</v>
      </c>
      <c r="E358" s="5" t="inlineStr">
        <is>
          <t>Commercial</t>
        </is>
      </c>
      <c r="F358" s="5" t="inlineStr">
        <is>
          <t>Comparison / best-of page</t>
        </is>
      </c>
      <c r="G358" s="5" t="inlineStr">
        <is>
          <t>/compare/adv-vs-pcx/</t>
        </is>
      </c>
      <c r="H358" s="6">
        <f>ROUND(MIN(100,LOG10(C358+1)*18+(10-D358)*2+IF(OR(E358="Commercial",E358="Informational / Transactional"),12,5)),0)</f>
        <v/>
      </c>
      <c r="I358" s="6">
        <f>IF(H358&gt;=85,"P1",IF(H358&gt;=70,"P2","P3"))</f>
        <v/>
      </c>
      <c r="J358" s="5" t="inlineStr">
        <is>
          <t>https://ahrefs.com/keywords-explorer</t>
        </is>
      </c>
    </row>
    <row r="359">
      <c r="A359" s="2" t="inlineStr">
        <is>
          <t>Comparisons &amp; Buying Guides</t>
        </is>
      </c>
      <c r="B359" s="3" t="inlineStr">
        <is>
          <t>adv 160 vs pcx 160</t>
        </is>
      </c>
      <c r="C359" s="4" t="n">
        <v>150</v>
      </c>
      <c r="D359" s="3" t="n">
        <v>0</v>
      </c>
      <c r="E359" s="5" t="inlineStr">
        <is>
          <t>Commercial</t>
        </is>
      </c>
      <c r="F359" s="5" t="inlineStr">
        <is>
          <t>Comparison / best-of page</t>
        </is>
      </c>
      <c r="G359" s="5" t="inlineStr">
        <is>
          <t>/compare/adv-160-vs-pcx-160/</t>
        </is>
      </c>
      <c r="H359" s="6">
        <f>ROUND(MIN(100,LOG10(C359+1)*18+(10-D359)*2+IF(OR(E359="Commercial",E359="Informational / Transactional"),12,5)),0)</f>
        <v/>
      </c>
      <c r="I359" s="6">
        <f>IF(H359&gt;=85,"P1",IF(H359&gt;=70,"P2","P3"))</f>
        <v/>
      </c>
      <c r="J359" s="5" t="inlineStr">
        <is>
          <t>https://ahrefs.com/keywords-explorer</t>
        </is>
      </c>
    </row>
    <row r="360">
      <c r="A360" s="2" t="inlineStr">
        <is>
          <t>Comparisons &amp; Buying Guides</t>
        </is>
      </c>
      <c r="B360" s="3" t="inlineStr">
        <is>
          <t>aerox v3 vs nmax v3</t>
        </is>
      </c>
      <c r="C360" s="4" t="n">
        <v>150</v>
      </c>
      <c r="D360" s="3" t="n">
        <v>0</v>
      </c>
      <c r="E360" s="5" t="inlineStr">
        <is>
          <t>Commercial</t>
        </is>
      </c>
      <c r="F360" s="5" t="inlineStr">
        <is>
          <t>Comparison / best-of page</t>
        </is>
      </c>
      <c r="G360" s="5" t="inlineStr">
        <is>
          <t>/compare/aerox-v3-vs-nmax-v3/</t>
        </is>
      </c>
      <c r="H360" s="6">
        <f>ROUND(MIN(100,LOG10(C360+1)*18+(10-D360)*2+IF(OR(E360="Commercial",E360="Informational / Transactional"),12,5)),0)</f>
        <v/>
      </c>
      <c r="I360" s="6">
        <f>IF(H360&gt;=85,"P1",IF(H360&gt;=70,"P2","P3"))</f>
        <v/>
      </c>
      <c r="J360" s="5" t="inlineStr">
        <is>
          <t>https://ahrefs.com/keywords-explorer</t>
        </is>
      </c>
    </row>
    <row r="361">
      <c r="A361" s="2" t="inlineStr">
        <is>
          <t>Comparisons &amp; Buying Guides</t>
        </is>
      </c>
      <c r="B361" s="3" t="inlineStr">
        <is>
          <t>best 400cc motorcycle philippines</t>
        </is>
      </c>
      <c r="C361" s="4" t="n">
        <v>150</v>
      </c>
      <c r="D361" s="3" t="n">
        <v>10</v>
      </c>
      <c r="E361" s="5" t="inlineStr">
        <is>
          <t>Commercial</t>
        </is>
      </c>
      <c r="F361" s="5" t="inlineStr">
        <is>
          <t>Comparison / best-of page</t>
        </is>
      </c>
      <c r="G361" s="5" t="inlineStr">
        <is>
          <t>/compare/best-400cc-motorcycle-philippines/</t>
        </is>
      </c>
      <c r="H361" s="6">
        <f>ROUND(MIN(100,LOG10(C361+1)*18+(10-D361)*2+IF(OR(E361="Commercial",E361="Informational / Transactional"),12,5)),0)</f>
        <v/>
      </c>
      <c r="I361" s="6">
        <f>IF(H361&gt;=85,"P1",IF(H361&gt;=70,"P2","P3"))</f>
        <v/>
      </c>
      <c r="J361" s="5" t="inlineStr">
        <is>
          <t>https://ahrefs.com/keywords-explorer</t>
        </is>
      </c>
    </row>
    <row r="362">
      <c r="A362" s="2" t="inlineStr">
        <is>
          <t>Comparisons &amp; Buying Guides</t>
        </is>
      </c>
      <c r="B362" s="3" t="inlineStr">
        <is>
          <t>best battery for motorcycle</t>
        </is>
      </c>
      <c r="C362" s="4" t="n">
        <v>150</v>
      </c>
      <c r="D362" s="3" t="n">
        <v>0</v>
      </c>
      <c r="E362" s="5" t="inlineStr">
        <is>
          <t>Commercial</t>
        </is>
      </c>
      <c r="F362" s="5" t="inlineStr">
        <is>
          <t>Comparison / best-of page</t>
        </is>
      </c>
      <c r="G362" s="5" t="inlineStr">
        <is>
          <t>/compare/best-battery-for-motorcycle/</t>
        </is>
      </c>
      <c r="H362" s="6">
        <f>ROUND(MIN(100,LOG10(C362+1)*18+(10-D362)*2+IF(OR(E362="Commercial",E362="Informational / Transactional"),12,5)),0)</f>
        <v/>
      </c>
      <c r="I362" s="6">
        <f>IF(H362&gt;=85,"P1",IF(H362&gt;=70,"P2","P3"))</f>
        <v/>
      </c>
      <c r="J362" s="5" t="inlineStr">
        <is>
          <t>https://ahrefs.com/keywords-explorer</t>
        </is>
      </c>
    </row>
    <row r="363">
      <c r="A363" s="2" t="inlineStr">
        <is>
          <t>Comparisons &amp; Buying Guides</t>
        </is>
      </c>
      <c r="B363" s="3" t="inlineStr">
        <is>
          <t>best budget motorcycle philippines</t>
        </is>
      </c>
      <c r="C363" s="4" t="n">
        <v>150</v>
      </c>
      <c r="D363" s="3" t="n">
        <v>6</v>
      </c>
      <c r="E363" s="5" t="inlineStr">
        <is>
          <t>Commercial</t>
        </is>
      </c>
      <c r="F363" s="5" t="inlineStr">
        <is>
          <t>Comparison / best-of page</t>
        </is>
      </c>
      <c r="G363" s="5" t="inlineStr">
        <is>
          <t>/compare/best-budget-motorcycle-philippines/</t>
        </is>
      </c>
      <c r="H363" s="6">
        <f>ROUND(MIN(100,LOG10(C363+1)*18+(10-D363)*2+IF(OR(E363="Commercial",E363="Informational / Transactional"),12,5)),0)</f>
        <v/>
      </c>
      <c r="I363" s="6">
        <f>IF(H363&gt;=85,"P1",IF(H363&gt;=70,"P2","P3"))</f>
        <v/>
      </c>
      <c r="J363" s="5" t="inlineStr">
        <is>
          <t>https://ahrefs.com/keywords-explorer</t>
        </is>
      </c>
    </row>
    <row r="364">
      <c r="A364" s="2" t="inlineStr">
        <is>
          <t>Comparisons &amp; Buying Guides</t>
        </is>
      </c>
      <c r="B364" s="3" t="inlineStr">
        <is>
          <t>best motorcycle battery brand</t>
        </is>
      </c>
      <c r="C364" s="4" t="n">
        <v>150</v>
      </c>
      <c r="D364" s="3" t="n">
        <v>0</v>
      </c>
      <c r="E364" s="5" t="inlineStr">
        <is>
          <t>Commercial</t>
        </is>
      </c>
      <c r="F364" s="5" t="inlineStr">
        <is>
          <t>Comparison / best-of page</t>
        </is>
      </c>
      <c r="G364" s="5" t="inlineStr">
        <is>
          <t>/compare/best-motorcycle-battery-brand/</t>
        </is>
      </c>
      <c r="H364" s="6">
        <f>ROUND(MIN(100,LOG10(C364+1)*18+(10-D364)*2+IF(OR(E364="Commercial",E364="Informational / Transactional"),12,5)),0)</f>
        <v/>
      </c>
      <c r="I364" s="6">
        <f>IF(H364&gt;=85,"P1",IF(H364&gt;=70,"P2","P3"))</f>
        <v/>
      </c>
      <c r="J364" s="5" t="inlineStr">
        <is>
          <t>https://ahrefs.com/keywords-explorer</t>
        </is>
      </c>
    </row>
    <row r="365">
      <c r="A365" s="2" t="inlineStr">
        <is>
          <t>Comparisons &amp; Buying Guides</t>
        </is>
      </c>
      <c r="B365" s="3" t="inlineStr">
        <is>
          <t>best motorcycle for long rides philippines</t>
        </is>
      </c>
      <c r="C365" s="4" t="n">
        <v>150</v>
      </c>
      <c r="D365" s="3" t="n">
        <v>1</v>
      </c>
      <c r="E365" s="5" t="inlineStr">
        <is>
          <t>Commercial</t>
        </is>
      </c>
      <c r="F365" s="5" t="inlineStr">
        <is>
          <t>Comparison / best-of page</t>
        </is>
      </c>
      <c r="G365" s="5" t="inlineStr">
        <is>
          <t>/compare/best-motorcycle-for-long-rides-philippines/</t>
        </is>
      </c>
      <c r="H365" s="6">
        <f>ROUND(MIN(100,LOG10(C365+1)*18+(10-D365)*2+IF(OR(E365="Commercial",E365="Informational / Transactional"),12,5)),0)</f>
        <v/>
      </c>
      <c r="I365" s="6">
        <f>IF(H365&gt;=85,"P1",IF(H365&gt;=70,"P2","P3"))</f>
        <v/>
      </c>
      <c r="J365" s="5" t="inlineStr">
        <is>
          <t>https://ahrefs.com/keywords-explorer</t>
        </is>
      </c>
    </row>
    <row r="366">
      <c r="A366" s="2" t="inlineStr">
        <is>
          <t>Comparisons &amp; Buying Guides</t>
        </is>
      </c>
      <c r="B366" s="3" t="inlineStr">
        <is>
          <t>best oil for motorcycle</t>
        </is>
      </c>
      <c r="C366" s="4" t="n">
        <v>150</v>
      </c>
      <c r="D366" s="3" t="n">
        <v>0</v>
      </c>
      <c r="E366" s="5" t="inlineStr">
        <is>
          <t>Commercial</t>
        </is>
      </c>
      <c r="F366" s="5" t="inlineStr">
        <is>
          <t>Comparison / best-of page</t>
        </is>
      </c>
      <c r="G366" s="5" t="inlineStr">
        <is>
          <t>/compare/best-oil-for-motorcycle/</t>
        </is>
      </c>
      <c r="H366" s="6">
        <f>ROUND(MIN(100,LOG10(C366+1)*18+(10-D366)*2+IF(OR(E366="Commercial",E366="Informational / Transactional"),12,5)),0)</f>
        <v/>
      </c>
      <c r="I366" s="6">
        <f>IF(H366&gt;=85,"P1",IF(H366&gt;=70,"P2","P3"))</f>
        <v/>
      </c>
      <c r="J366" s="5" t="inlineStr">
        <is>
          <t>https://ahrefs.com/keywords-explorer</t>
        </is>
      </c>
    </row>
    <row r="367">
      <c r="A367" s="2" t="inlineStr">
        <is>
          <t>Comparisons &amp; Buying Guides</t>
        </is>
      </c>
      <c r="B367" s="3" t="inlineStr">
        <is>
          <t>click 160 vs aerox 155</t>
        </is>
      </c>
      <c r="C367" s="4" t="n">
        <v>150</v>
      </c>
      <c r="D367" s="3" t="n">
        <v>0</v>
      </c>
      <c r="E367" s="5" t="inlineStr">
        <is>
          <t>Commercial</t>
        </is>
      </c>
      <c r="F367" s="5" t="inlineStr">
        <is>
          <t>Comparison / best-of page</t>
        </is>
      </c>
      <c r="G367" s="5" t="inlineStr">
        <is>
          <t>/compare/click-160-vs-aerox-155/</t>
        </is>
      </c>
      <c r="H367" s="6">
        <f>ROUND(MIN(100,LOG10(C367+1)*18+(10-D367)*2+IF(OR(E367="Commercial",E367="Informational / Transactional"),12,5)),0)</f>
        <v/>
      </c>
      <c r="I367" s="6">
        <f>IF(H367&gt;=85,"P1",IF(H367&gt;=70,"P2","P3"))</f>
        <v/>
      </c>
      <c r="J367" s="5" t="inlineStr">
        <is>
          <t>https://ahrefs.com/keywords-explorer</t>
        </is>
      </c>
    </row>
    <row r="368">
      <c r="A368" s="2" t="inlineStr">
        <is>
          <t>Comparisons &amp; Buying Guides</t>
        </is>
      </c>
      <c r="B368" s="3" t="inlineStr">
        <is>
          <t>nmax v3 vs aerox v3</t>
        </is>
      </c>
      <c r="C368" s="4" t="n">
        <v>150</v>
      </c>
      <c r="D368" s="3" t="n">
        <v>0</v>
      </c>
      <c r="E368" s="5" t="inlineStr">
        <is>
          <t>Commercial</t>
        </is>
      </c>
      <c r="F368" s="5" t="inlineStr">
        <is>
          <t>Comparison / best-of page</t>
        </is>
      </c>
      <c r="G368" s="5" t="inlineStr">
        <is>
          <t>/compare/nmax-v3-vs-aerox-v3/</t>
        </is>
      </c>
      <c r="H368" s="6">
        <f>ROUND(MIN(100,LOG10(C368+1)*18+(10-D368)*2+IF(OR(E368="Commercial",E368="Informational / Transactional"),12,5)),0)</f>
        <v/>
      </c>
      <c r="I368" s="6">
        <f>IF(H368&gt;=85,"P1",IF(H368&gt;=70,"P2","P3"))</f>
        <v/>
      </c>
      <c r="J368" s="5" t="inlineStr">
        <is>
          <t>https://ahrefs.com/keywords-explorer</t>
        </is>
      </c>
    </row>
    <row r="369">
      <c r="A369" s="2" t="inlineStr">
        <is>
          <t>Comparisons &amp; Buying Guides</t>
        </is>
      </c>
      <c r="B369" s="3" t="inlineStr">
        <is>
          <t>pcx 160 vs adv 160</t>
        </is>
      </c>
      <c r="C369" s="4" t="n">
        <v>150</v>
      </c>
      <c r="D369" s="3" t="n">
        <v>0</v>
      </c>
      <c r="E369" s="5" t="inlineStr">
        <is>
          <t>Commercial</t>
        </is>
      </c>
      <c r="F369" s="5" t="inlineStr">
        <is>
          <t>Comparison / best-of page</t>
        </is>
      </c>
      <c r="G369" s="5" t="inlineStr">
        <is>
          <t>/compare/pcx-160-vs-adv-160/</t>
        </is>
      </c>
      <c r="H369" s="6">
        <f>ROUND(MIN(100,LOG10(C369+1)*18+(10-D369)*2+IF(OR(E369="Commercial",E369="Informational / Transactional"),12,5)),0)</f>
        <v/>
      </c>
      <c r="I369" s="6">
        <f>IF(H369&gt;=85,"P1",IF(H369&gt;=70,"P2","P3"))</f>
        <v/>
      </c>
      <c r="J369" s="5" t="inlineStr">
        <is>
          <t>https://ahrefs.com/keywords-explorer</t>
        </is>
      </c>
    </row>
    <row r="370">
      <c r="A370" s="2" t="inlineStr">
        <is>
          <t>Comparisons &amp; Buying Guides</t>
        </is>
      </c>
      <c r="B370" s="3" t="inlineStr">
        <is>
          <t>aerox vs click</t>
        </is>
      </c>
      <c r="C370" s="4" t="n">
        <v>100</v>
      </c>
      <c r="D370" s="3" t="n">
        <v>0</v>
      </c>
      <c r="E370" s="5" t="inlineStr">
        <is>
          <t>Commercial</t>
        </is>
      </c>
      <c r="F370" s="5" t="inlineStr">
        <is>
          <t>Comparison / best-of page</t>
        </is>
      </c>
      <c r="G370" s="5" t="inlineStr">
        <is>
          <t>/compare/aerox-vs-click/</t>
        </is>
      </c>
      <c r="H370" s="6">
        <f>ROUND(MIN(100,LOG10(C370+1)*18+(10-D370)*2+IF(OR(E370="Commercial",E370="Informational / Transactional"),12,5)),0)</f>
        <v/>
      </c>
      <c r="I370" s="6">
        <f>IF(H370&gt;=85,"P1",IF(H370&gt;=70,"P2","P3"))</f>
        <v/>
      </c>
      <c r="J370" s="5" t="inlineStr">
        <is>
          <t>https://ahrefs.com/keywords-explorer</t>
        </is>
      </c>
    </row>
    <row r="371">
      <c r="A371" s="2" t="inlineStr">
        <is>
          <t>Comparisons &amp; Buying Guides</t>
        </is>
      </c>
      <c r="B371" s="3" t="inlineStr">
        <is>
          <t>aerox vs click 160</t>
        </is>
      </c>
      <c r="C371" s="4" t="n">
        <v>100</v>
      </c>
      <c r="D371" s="3" t="n">
        <v>0</v>
      </c>
      <c r="E371" s="5" t="inlineStr">
        <is>
          <t>Commercial</t>
        </is>
      </c>
      <c r="F371" s="5" t="inlineStr">
        <is>
          <t>Comparison / best-of page</t>
        </is>
      </c>
      <c r="G371" s="5" t="inlineStr">
        <is>
          <t>/compare/aerox-vs-click-160/</t>
        </is>
      </c>
      <c r="H371" s="6">
        <f>ROUND(MIN(100,LOG10(C371+1)*18+(10-D371)*2+IF(OR(E371="Commercial",E371="Informational / Transactional"),12,5)),0)</f>
        <v/>
      </c>
      <c r="I371" s="6">
        <f>IF(H371&gt;=85,"P1",IF(H371&gt;=70,"P2","P3"))</f>
        <v/>
      </c>
      <c r="J371" s="5" t="inlineStr">
        <is>
          <t>https://ahrefs.com/keywords-explorer</t>
        </is>
      </c>
    </row>
    <row r="372">
      <c r="A372" s="2" t="inlineStr">
        <is>
          <t>Comparisons &amp; Buying Guides</t>
        </is>
      </c>
      <c r="B372" s="3" t="inlineStr">
        <is>
          <t>best manual motorcycle philippines</t>
        </is>
      </c>
      <c r="C372" s="4" t="n">
        <v>100</v>
      </c>
      <c r="D372" s="3" t="n">
        <v>7</v>
      </c>
      <c r="E372" s="5" t="inlineStr">
        <is>
          <t>Commercial</t>
        </is>
      </c>
      <c r="F372" s="5" t="inlineStr">
        <is>
          <t>Comparison / best-of page</t>
        </is>
      </c>
      <c r="G372" s="5" t="inlineStr">
        <is>
          <t>/compare/best-manual-motorcycle-philippines/</t>
        </is>
      </c>
      <c r="H372" s="6">
        <f>ROUND(MIN(100,LOG10(C372+1)*18+(10-D372)*2+IF(OR(E372="Commercial",E372="Informational / Transactional"),12,5)),0)</f>
        <v/>
      </c>
      <c r="I372" s="6">
        <f>IF(H372&gt;=85,"P1",IF(H372&gt;=70,"P2","P3"))</f>
        <v/>
      </c>
      <c r="J372" s="5" t="inlineStr">
        <is>
          <t>https://ahrefs.com/keywords-explorer</t>
        </is>
      </c>
    </row>
    <row r="373">
      <c r="A373" s="2" t="inlineStr">
        <is>
          <t>Comparisons &amp; Buying Guides</t>
        </is>
      </c>
      <c r="B373" s="3" t="inlineStr">
        <is>
          <t>best motorcycle battery</t>
        </is>
      </c>
      <c r="C373" s="4" t="n">
        <v>100</v>
      </c>
      <c r="D373" s="3" t="n">
        <v>0</v>
      </c>
      <c r="E373" s="5" t="inlineStr">
        <is>
          <t>Commercial</t>
        </is>
      </c>
      <c r="F373" s="5" t="inlineStr">
        <is>
          <t>Comparison / best-of page</t>
        </is>
      </c>
      <c r="G373" s="5" t="inlineStr">
        <is>
          <t>/compare/best-motorcycle-battery/</t>
        </is>
      </c>
      <c r="H373" s="6">
        <f>ROUND(MIN(100,LOG10(C373+1)*18+(10-D373)*2+IF(OR(E373="Commercial",E373="Informational / Transactional"),12,5)),0)</f>
        <v/>
      </c>
      <c r="I373" s="6">
        <f>IF(H373&gt;=85,"P1",IF(H373&gt;=70,"P2","P3"))</f>
        <v/>
      </c>
      <c r="J373" s="5" t="inlineStr">
        <is>
          <t>https://ahrefs.com/keywords-explorer</t>
        </is>
      </c>
    </row>
    <row r="374">
      <c r="A374" s="2" t="inlineStr">
        <is>
          <t>Comparisons &amp; Buying Guides</t>
        </is>
      </c>
      <c r="B374" s="3" t="inlineStr">
        <is>
          <t>best motorcycle battery brand philippines</t>
        </is>
      </c>
      <c r="C374" s="4" t="n">
        <v>100</v>
      </c>
      <c r="D374" s="3" t="n">
        <v>0</v>
      </c>
      <c r="E374" s="5" t="inlineStr">
        <is>
          <t>Commercial</t>
        </is>
      </c>
      <c r="F374" s="5" t="inlineStr">
        <is>
          <t>Comparison / best-of page</t>
        </is>
      </c>
      <c r="G374" s="5" t="inlineStr">
        <is>
          <t>/compare/best-motorcycle-battery-brand-philippines/</t>
        </is>
      </c>
      <c r="H374" s="6">
        <f>ROUND(MIN(100,LOG10(C374+1)*18+(10-D374)*2+IF(OR(E374="Commercial",E374="Informational / Transactional"),12,5)),0)</f>
        <v/>
      </c>
      <c r="I374" s="6">
        <f>IF(H374&gt;=85,"P1",IF(H374&gt;=70,"P2","P3"))</f>
        <v/>
      </c>
      <c r="J374" s="5" t="inlineStr">
        <is>
          <t>https://ahrefs.com/keywords-explorer</t>
        </is>
      </c>
    </row>
    <row r="375">
      <c r="A375" s="2" t="inlineStr">
        <is>
          <t>Comparisons &amp; Buying Guides</t>
        </is>
      </c>
      <c r="B375" s="3" t="inlineStr">
        <is>
          <t>best coolant for motorcycle</t>
        </is>
      </c>
      <c r="C375" s="4" t="n">
        <v>90</v>
      </c>
      <c r="D375" s="3" t="n">
        <v>0</v>
      </c>
      <c r="E375" s="5" t="inlineStr">
        <is>
          <t>Commercial</t>
        </is>
      </c>
      <c r="F375" s="5" t="inlineStr">
        <is>
          <t>Comparison / best-of page</t>
        </is>
      </c>
      <c r="G375" s="5" t="inlineStr">
        <is>
          <t>/compare/best-coolant-for-motorcycle/</t>
        </is>
      </c>
      <c r="H375" s="6">
        <f>ROUND(MIN(100,LOG10(C375+1)*18+(10-D375)*2+IF(OR(E375="Commercial",E375="Informational / Transactional"),12,5)),0)</f>
        <v/>
      </c>
      <c r="I375" s="6">
        <f>IF(H375&gt;=85,"P1",IF(H375&gt;=70,"P2","P3"))</f>
        <v/>
      </c>
      <c r="J375" s="5" t="inlineStr">
        <is>
          <t>https://ahrefs.com/keywords-explorer</t>
        </is>
      </c>
    </row>
    <row r="376">
      <c r="A376" s="2" t="inlineStr">
        <is>
          <t>Comparisons &amp; Buying Guides</t>
        </is>
      </c>
      <c r="B376" s="3" t="inlineStr">
        <is>
          <t>best engine oil for motorcycle</t>
        </is>
      </c>
      <c r="C376" s="4" t="n">
        <v>90</v>
      </c>
      <c r="D376" s="3" t="n">
        <v>0</v>
      </c>
      <c r="E376" s="5" t="inlineStr">
        <is>
          <t>Commercial</t>
        </is>
      </c>
      <c r="F376" s="5" t="inlineStr">
        <is>
          <t>Comparison / best-of page</t>
        </is>
      </c>
      <c r="G376" s="5" t="inlineStr">
        <is>
          <t>/compare/best-engine-oil-for-motorcycle/</t>
        </is>
      </c>
      <c r="H376" s="6">
        <f>ROUND(MIN(100,LOG10(C376+1)*18+(10-D376)*2+IF(OR(E376="Commercial",E376="Informational / Transactional"),12,5)),0)</f>
        <v/>
      </c>
      <c r="I376" s="6">
        <f>IF(H376&gt;=85,"P1",IF(H376&gt;=70,"P2","P3"))</f>
        <v/>
      </c>
      <c r="J376" s="5" t="inlineStr">
        <is>
          <t>https://ahrefs.com/keywords-explorer</t>
        </is>
      </c>
    </row>
    <row r="377">
      <c r="A377" s="2" t="inlineStr">
        <is>
          <t>Comparisons &amp; Buying Guides</t>
        </is>
      </c>
      <c r="B377" s="3" t="inlineStr">
        <is>
          <t>best chain lube for motorcycle</t>
        </is>
      </c>
      <c r="C377" s="4" t="n">
        <v>70</v>
      </c>
      <c r="D377" s="3" t="n">
        <v>0</v>
      </c>
      <c r="E377" s="5" t="inlineStr">
        <is>
          <t>Commercial</t>
        </is>
      </c>
      <c r="F377" s="5" t="inlineStr">
        <is>
          <t>Comparison / best-of page</t>
        </is>
      </c>
      <c r="G377" s="5" t="inlineStr">
        <is>
          <t>/compare/best-chain-lube-for-motorcycle/</t>
        </is>
      </c>
      <c r="H377" s="6">
        <f>ROUND(MIN(100,LOG10(C377+1)*18+(10-D377)*2+IF(OR(E377="Commercial",E377="Informational / Transactional"),12,5)),0)</f>
        <v/>
      </c>
      <c r="I377" s="6">
        <f>IF(H377&gt;=85,"P1",IF(H377&gt;=70,"P2","P3"))</f>
        <v/>
      </c>
      <c r="J377" s="5" t="inlineStr">
        <is>
          <t>https://ahrefs.com/keywords-explorer</t>
        </is>
      </c>
    </row>
    <row r="378">
      <c r="A378" s="2" t="inlineStr">
        <is>
          <t>Comparisons &amp; Buying Guides</t>
        </is>
      </c>
      <c r="B378" s="3" t="inlineStr">
        <is>
          <t>best motorcycle tire brand in the philippines</t>
        </is>
      </c>
      <c r="C378" s="4" t="n">
        <v>70</v>
      </c>
      <c r="D378" s="3" t="n">
        <v>0</v>
      </c>
      <c r="E378" s="5" t="inlineStr">
        <is>
          <t>Commercial</t>
        </is>
      </c>
      <c r="F378" s="5" t="inlineStr">
        <is>
          <t>Comparison / best-of page</t>
        </is>
      </c>
      <c r="G378" s="5" t="inlineStr">
        <is>
          <t>/compare/best-motorcycle-tire-brand-in-the-philippines/</t>
        </is>
      </c>
      <c r="H378" s="6">
        <f>ROUND(MIN(100,LOG10(C378+1)*18+(10-D378)*2+IF(OR(E378="Commercial",E378="Informational / Transactional"),12,5)),0)</f>
        <v/>
      </c>
      <c r="I378" s="6">
        <f>IF(H378&gt;=85,"P1",IF(H378&gt;=70,"P2","P3"))</f>
        <v/>
      </c>
      <c r="J378" s="5" t="inlineStr">
        <is>
          <t>https://ahrefs.com/keywords-explorer</t>
        </is>
      </c>
    </row>
    <row r="379">
      <c r="A379" s="2" t="inlineStr">
        <is>
          <t>Comparisons &amp; Buying Guides</t>
        </is>
      </c>
      <c r="B379" s="3" t="inlineStr">
        <is>
          <t>best tire brand motorcycle philippines</t>
        </is>
      </c>
      <c r="C379" s="4" t="n">
        <v>60</v>
      </c>
      <c r="D379" s="3" t="n">
        <v>0</v>
      </c>
      <c r="E379" s="5" t="inlineStr">
        <is>
          <t>Commercial</t>
        </is>
      </c>
      <c r="F379" s="5" t="inlineStr">
        <is>
          <t>Comparison / best-of page</t>
        </is>
      </c>
      <c r="G379" s="5" t="inlineStr">
        <is>
          <t>/compare/best-tire-brand-motorcycle-philippines/</t>
        </is>
      </c>
      <c r="H379" s="6">
        <f>ROUND(MIN(100,LOG10(C379+1)*18+(10-D379)*2+IF(OR(E379="Commercial",E379="Informational / Transactional"),12,5)),0)</f>
        <v/>
      </c>
      <c r="I379" s="6">
        <f>IF(H379&gt;=85,"P1",IF(H379&gt;=70,"P2","P3"))</f>
        <v/>
      </c>
      <c r="J379" s="5" t="inlineStr">
        <is>
          <t>https://ahrefs.com/keywords-explorer</t>
        </is>
      </c>
    </row>
    <row r="380">
      <c r="A380" s="2" t="inlineStr">
        <is>
          <t>Financing &amp; Installments</t>
        </is>
      </c>
      <c r="B380" s="3" t="inlineStr">
        <is>
          <t>nmax price philippines installment</t>
        </is>
      </c>
      <c r="C380" s="4" t="n">
        <v>500</v>
      </c>
      <c r="D380" s="3" t="n">
        <v>0</v>
      </c>
      <c r="E380" s="5" t="inlineStr">
        <is>
          <t>Commercial</t>
        </is>
      </c>
      <c r="F380" s="5" t="inlineStr">
        <is>
          <t>Financing / calculator page</t>
        </is>
      </c>
      <c r="G380" s="5" t="inlineStr">
        <is>
          <t>/financing/nmax-price-philippines-installment/</t>
        </is>
      </c>
      <c r="H380" s="6">
        <f>ROUND(MIN(100,LOG10(C380+1)*18+(10-D380)*2+IF(OR(E380="Commercial",E380="Informational / Transactional"),12,5)),0)</f>
        <v/>
      </c>
      <c r="I380" s="6">
        <f>IF(H380&gt;=85,"P1",IF(H380&gt;=70,"P2","P3"))</f>
        <v/>
      </c>
      <c r="J380" s="5" t="inlineStr">
        <is>
          <t>https://ahrefs.com/keywords-explorer</t>
        </is>
      </c>
    </row>
    <row r="381">
      <c r="A381" s="2" t="inlineStr">
        <is>
          <t>Financing &amp; Installments</t>
        </is>
      </c>
      <c r="B381" s="3" t="inlineStr">
        <is>
          <t>requirements for motorcycle installment</t>
        </is>
      </c>
      <c r="C381" s="4" t="n">
        <v>200</v>
      </c>
      <c r="D381" s="3" t="n">
        <v>0</v>
      </c>
      <c r="E381" s="5" t="inlineStr">
        <is>
          <t>Commercial</t>
        </is>
      </c>
      <c r="F381" s="5" t="inlineStr">
        <is>
          <t>Financing / calculator page</t>
        </is>
      </c>
      <c r="G381" s="5" t="inlineStr">
        <is>
          <t>/financing/requirements-for-motorcycle-installment/</t>
        </is>
      </c>
      <c r="H381" s="6">
        <f>ROUND(MIN(100,LOG10(C381+1)*18+(10-D381)*2+IF(OR(E381="Commercial",E381="Informational / Transactional"),12,5)),0)</f>
        <v/>
      </c>
      <c r="I381" s="6">
        <f>IF(H381&gt;=85,"P1",IF(H381&gt;=70,"P2","P3"))</f>
        <v/>
      </c>
      <c r="J381" s="5" t="inlineStr">
        <is>
          <t>https://ahrefs.com/keywords-explorer</t>
        </is>
      </c>
    </row>
    <row r="382">
      <c r="A382" s="2" t="inlineStr">
        <is>
          <t>Financing &amp; Installments</t>
        </is>
      </c>
      <c r="B382" s="3" t="inlineStr">
        <is>
          <t>honda click 160 monthly installment motortrade</t>
        </is>
      </c>
      <c r="C382" s="4" t="n">
        <v>150</v>
      </c>
      <c r="D382" s="3" t="n">
        <v>0</v>
      </c>
      <c r="E382" s="5" t="inlineStr">
        <is>
          <t>Commercial</t>
        </is>
      </c>
      <c r="F382" s="5" t="inlineStr">
        <is>
          <t>Financing / calculator page</t>
        </is>
      </c>
      <c r="G382" s="5" t="inlineStr">
        <is>
          <t>/financing/honda-click-160-monthly-installment-motortrade/</t>
        </is>
      </c>
      <c r="H382" s="6">
        <f>ROUND(MIN(100,LOG10(C382+1)*18+(10-D382)*2+IF(OR(E382="Commercial",E382="Informational / Transactional"),12,5)),0)</f>
        <v/>
      </c>
      <c r="I382" s="6">
        <f>IF(H382&gt;=85,"P1",IF(H382&gt;=70,"P2","P3"))</f>
        <v/>
      </c>
      <c r="J382" s="5" t="inlineStr">
        <is>
          <t>https://ahrefs.com/keywords-explorer</t>
        </is>
      </c>
    </row>
    <row r="383">
      <c r="A383" s="2" t="inlineStr">
        <is>
          <t>Local Shops &amp; Dealers</t>
        </is>
      </c>
      <c r="B383" s="3" t="inlineStr">
        <is>
          <t>helmet shop near me</t>
        </is>
      </c>
      <c r="C383" s="4" t="n">
        <v>1000</v>
      </c>
      <c r="D383" s="3" t="n">
        <v>0</v>
      </c>
      <c r="E383" s="5" t="inlineStr">
        <is>
          <t>Commercial</t>
        </is>
      </c>
      <c r="F383" s="5" t="inlineStr">
        <is>
          <t>Local directory / location page</t>
        </is>
      </c>
      <c r="G383" s="5" t="inlineStr">
        <is>
          <t>/shops/helmet-shop-near-me/</t>
        </is>
      </c>
      <c r="H383" s="6">
        <f>ROUND(MIN(100,LOG10(C383+1)*18+(10-D383)*2+IF(OR(E383="Commercial",E383="Informational / Transactional"),12,5)),0)</f>
        <v/>
      </c>
      <c r="I383" s="6">
        <f>IF(H383&gt;=85,"P1",IF(H383&gt;=70,"P2","P3"))</f>
        <v/>
      </c>
      <c r="J383" s="5" t="inlineStr">
        <is>
          <t>https://ahrefs.com/keywords-explorer</t>
        </is>
      </c>
    </row>
    <row r="384">
      <c r="A384" s="2" t="inlineStr">
        <is>
          <t>Local Shops &amp; Dealers</t>
        </is>
      </c>
      <c r="B384" s="3" t="inlineStr">
        <is>
          <t>motorcycle repair shop near me</t>
        </is>
      </c>
      <c r="C384" s="4" t="n">
        <v>450</v>
      </c>
      <c r="D384" s="3" t="n">
        <v>0</v>
      </c>
      <c r="E384" s="5" t="inlineStr">
        <is>
          <t>Commercial</t>
        </is>
      </c>
      <c r="F384" s="5" t="inlineStr">
        <is>
          <t>Local directory / location page</t>
        </is>
      </c>
      <c r="G384" s="5" t="inlineStr">
        <is>
          <t>/shops/motorcycle-repair-shop-near-me/</t>
        </is>
      </c>
      <c r="H384" s="6">
        <f>ROUND(MIN(100,LOG10(C384+1)*18+(10-D384)*2+IF(OR(E384="Commercial",E384="Informational / Transactional"),12,5)),0)</f>
        <v/>
      </c>
      <c r="I384" s="6">
        <f>IF(H384&gt;=85,"P1",IF(H384&gt;=70,"P2","P3"))</f>
        <v/>
      </c>
      <c r="J384" s="5" t="inlineStr">
        <is>
          <t>https://ahrefs.com/keywords-explorer</t>
        </is>
      </c>
    </row>
    <row r="385">
      <c r="A385" s="2" t="inlineStr">
        <is>
          <t>Local Shops &amp; Dealers</t>
        </is>
      </c>
      <c r="B385" s="3" t="inlineStr">
        <is>
          <t>motorcycle tire shop near me</t>
        </is>
      </c>
      <c r="C385" s="4" t="n">
        <v>300</v>
      </c>
      <c r="D385" s="3" t="n">
        <v>0</v>
      </c>
      <c r="E385" s="5" t="inlineStr">
        <is>
          <t>Commercial</t>
        </is>
      </c>
      <c r="F385" s="5" t="inlineStr">
        <is>
          <t>Local directory / location page</t>
        </is>
      </c>
      <c r="G385" s="5" t="inlineStr">
        <is>
          <t>/shops/motorcycle-tire-shop-near-me/</t>
        </is>
      </c>
      <c r="H385" s="6">
        <f>ROUND(MIN(100,LOG10(C385+1)*18+(10-D385)*2+IF(OR(E385="Commercial",E385="Informational / Transactional"),12,5)),0)</f>
        <v/>
      </c>
      <c r="I385" s="6">
        <f>IF(H385&gt;=85,"P1",IF(H385&gt;=70,"P2","P3"))</f>
        <v/>
      </c>
      <c r="J385" s="5" t="inlineStr">
        <is>
          <t>https://ahrefs.com/keywords-explorer</t>
        </is>
      </c>
    </row>
    <row r="386">
      <c r="A386" s="2" t="inlineStr">
        <is>
          <t>Local Shops &amp; Dealers</t>
        </is>
      </c>
      <c r="B386" s="3" t="inlineStr">
        <is>
          <t>motorcycle battery near me</t>
        </is>
      </c>
      <c r="C386" s="4" t="n">
        <v>100</v>
      </c>
      <c r="D386" s="3" t="n">
        <v>0</v>
      </c>
      <c r="E386" s="5" t="inlineStr">
        <is>
          <t>Commercial</t>
        </is>
      </c>
      <c r="F386" s="5" t="inlineStr">
        <is>
          <t>Local directory / location page</t>
        </is>
      </c>
      <c r="G386" s="5" t="inlineStr">
        <is>
          <t>/shops/motorcycle-battery-near-me/</t>
        </is>
      </c>
      <c r="H386" s="6">
        <f>ROUND(MIN(100,LOG10(C386+1)*18+(10-D386)*2+IF(OR(E386="Commercial",E386="Informational / Transactional"),12,5)),0)</f>
        <v/>
      </c>
      <c r="I386" s="6">
        <f>IF(H386&gt;=85,"P1",IF(H386&gt;=70,"P2","P3"))</f>
        <v/>
      </c>
      <c r="J386" s="5" t="inlineStr">
        <is>
          <t>https://ahrefs.com/keywords-explorer</t>
        </is>
      </c>
    </row>
    <row r="387">
      <c r="A387" s="2" t="inlineStr">
        <is>
          <t>Local Shops &amp; Dealers</t>
        </is>
      </c>
      <c r="B387" s="3" t="inlineStr">
        <is>
          <t>caloocan motorcycle parts</t>
        </is>
      </c>
      <c r="C387" s="4" t="n">
        <v>70</v>
      </c>
      <c r="D387" s="3" t="n">
        <v>0</v>
      </c>
      <c r="E387" s="5" t="inlineStr">
        <is>
          <t>Informational</t>
        </is>
      </c>
      <c r="F387" s="5" t="inlineStr">
        <is>
          <t>Local directory / location page</t>
        </is>
      </c>
      <c r="G387" s="5" t="inlineStr">
        <is>
          <t>/shops/caloocan-motorcycle-parts/</t>
        </is>
      </c>
      <c r="H387" s="6">
        <f>ROUND(MIN(100,LOG10(C387+1)*18+(10-D387)*2+IF(OR(E387="Commercial",E387="Informational / Transactional"),12,5)),0)</f>
        <v/>
      </c>
      <c r="I387" s="6">
        <f>IF(H387&gt;=85,"P1",IF(H387&gt;=70,"P2","P3"))</f>
        <v/>
      </c>
      <c r="J387" s="5" t="inlineStr">
        <is>
          <t>https://ahrefs.com/keywords-explorer</t>
        </is>
      </c>
    </row>
    <row r="388">
      <c r="A388" s="2" t="inlineStr">
        <is>
          <t>Model Specs &amp; Compatibility</t>
        </is>
      </c>
      <c r="B388" s="3" t="inlineStr">
        <is>
          <t>can you drive a motorcycle if your license bears dl code b ?</t>
        </is>
      </c>
      <c r="C388" s="4" t="n">
        <v>5300</v>
      </c>
      <c r="D388" s="3" t="n">
        <v>0</v>
      </c>
      <c r="E388" s="5" t="inlineStr">
        <is>
          <t>Informational</t>
        </is>
      </c>
      <c r="F388" s="5" t="inlineStr">
        <is>
          <t>Spec / compatibility page</t>
        </is>
      </c>
      <c r="G388" s="5" t="inlineStr">
        <is>
          <t>/specs/can-you-drive-a-motorcycle-if-your-license-bears-dl-code-b/</t>
        </is>
      </c>
      <c r="H388" s="6">
        <f>ROUND(MIN(100,LOG10(C388+1)*18+(10-D388)*2+IF(OR(E388="Commercial",E388="Informational / Transactional"),12,5)),0)</f>
        <v/>
      </c>
      <c r="I388" s="6">
        <f>IF(H388&gt;=85,"P1",IF(H388&gt;=70,"P2","P3"))</f>
        <v/>
      </c>
      <c r="J388" s="5" t="inlineStr">
        <is>
          <t>https://ahrefs.com/keywords-explorer</t>
        </is>
      </c>
    </row>
    <row r="389">
      <c r="A389" s="2" t="inlineStr">
        <is>
          <t>Model Specs &amp; Compatibility</t>
        </is>
      </c>
      <c r="B389" s="3" t="inlineStr">
        <is>
          <t>parts of motorcycle</t>
        </is>
      </c>
      <c r="C389" s="4" t="n">
        <v>2400</v>
      </c>
      <c r="D389" s="3" t="n">
        <v>7</v>
      </c>
      <c r="E389" s="5" t="inlineStr">
        <is>
          <t>Informational</t>
        </is>
      </c>
      <c r="F389" s="5" t="inlineStr">
        <is>
          <t>Spec / compatibility page</t>
        </is>
      </c>
      <c r="G389" s="5" t="inlineStr">
        <is>
          <t>/specs/parts-of-motorcycle/</t>
        </is>
      </c>
      <c r="H389" s="6">
        <f>ROUND(MIN(100,LOG10(C389+1)*18+(10-D389)*2+IF(OR(E389="Commercial",E389="Informational / Transactional"),12,5)),0)</f>
        <v/>
      </c>
      <c r="I389" s="6">
        <f>IF(H389&gt;=85,"P1",IF(H389&gt;=70,"P2","P3"))</f>
        <v/>
      </c>
      <c r="J389" s="5" t="inlineStr">
        <is>
          <t>https://ahrefs.com/keywords-explorer</t>
        </is>
      </c>
    </row>
    <row r="390">
      <c r="A390" s="2" t="inlineStr">
        <is>
          <t>Model Specs &amp; Compatibility</t>
        </is>
      </c>
      <c r="B390" s="3" t="inlineStr">
        <is>
          <t>can you drive a motorcycle if your license bears dl code b</t>
        </is>
      </c>
      <c r="C390" s="4" t="n">
        <v>450</v>
      </c>
      <c r="D390" s="3" t="n">
        <v>0</v>
      </c>
      <c r="E390" s="5" t="inlineStr">
        <is>
          <t>Informational</t>
        </is>
      </c>
      <c r="F390" s="5" t="inlineStr">
        <is>
          <t>Spec / compatibility page</t>
        </is>
      </c>
      <c r="G390" s="5" t="inlineStr">
        <is>
          <t>/specs/can-you-drive-a-motorcycle-if-your-license-bears-dl-code-b/</t>
        </is>
      </c>
      <c r="H390" s="6">
        <f>ROUND(MIN(100,LOG10(C390+1)*18+(10-D390)*2+IF(OR(E390="Commercial",E390="Informational / Transactional"),12,5)),0)</f>
        <v/>
      </c>
      <c r="I390" s="6">
        <f>IF(H390&gt;=85,"P1",IF(H390&gt;=70,"P2","P3"))</f>
        <v/>
      </c>
      <c r="J390" s="5" t="inlineStr">
        <is>
          <t>https://ahrefs.com/keywords-explorer</t>
        </is>
      </c>
    </row>
    <row r="391">
      <c r="A391" s="2" t="inlineStr">
        <is>
          <t>Model Specs &amp; Compatibility</t>
        </is>
      </c>
      <c r="B391" s="3" t="inlineStr">
        <is>
          <t>motorcycle renewal requirements</t>
        </is>
      </c>
      <c r="C391" s="4" t="n">
        <v>200</v>
      </c>
      <c r="D391" s="3" t="n">
        <v>0</v>
      </c>
      <c r="E391" s="5" t="inlineStr">
        <is>
          <t>Informational</t>
        </is>
      </c>
      <c r="F391" s="5" t="inlineStr">
        <is>
          <t>Spec / compatibility page</t>
        </is>
      </c>
      <c r="G391" s="5" t="inlineStr">
        <is>
          <t>/specs/motorcycle-renewal-requirements/</t>
        </is>
      </c>
      <c r="H391" s="6">
        <f>ROUND(MIN(100,LOG10(C391+1)*18+(10-D391)*2+IF(OR(E391="Commercial",E391="Informational / Transactional"),12,5)),0)</f>
        <v/>
      </c>
      <c r="I391" s="6">
        <f>IF(H391&gt;=85,"P1",IF(H391&gt;=70,"P2","P3"))</f>
        <v/>
      </c>
      <c r="J391" s="5" t="inlineStr">
        <is>
          <t>https://ahrefs.com/keywords-explorer</t>
        </is>
      </c>
    </row>
    <row r="392">
      <c r="A392" s="2" t="inlineStr">
        <is>
          <t>Model Specs &amp; Compatibility</t>
        </is>
      </c>
      <c r="B392" s="3" t="inlineStr">
        <is>
          <t>what is the best motorcycle in the philippines</t>
        </is>
      </c>
      <c r="C392" s="4" t="n">
        <v>100</v>
      </c>
      <c r="D392" s="3" t="n">
        <v>7</v>
      </c>
      <c r="E392" s="5" t="inlineStr">
        <is>
          <t>Informational</t>
        </is>
      </c>
      <c r="F392" s="5" t="inlineStr">
        <is>
          <t>Spec / compatibility page</t>
        </is>
      </c>
      <c r="G392" s="5" t="inlineStr">
        <is>
          <t>/specs/what-is-the-best-motorcycle-in-the-philippines/</t>
        </is>
      </c>
      <c r="H392" s="6">
        <f>ROUND(MIN(100,LOG10(C392+1)*18+(10-D392)*2+IF(OR(E392="Commercial",E392="Informational / Transactional"),12,5)),0)</f>
        <v/>
      </c>
      <c r="I392" s="6">
        <f>IF(H392&gt;=85,"P1",IF(H392&gt;=70,"P2","P3"))</f>
        <v/>
      </c>
      <c r="J392" s="5" t="inlineStr">
        <is>
          <t>https://ahrefs.com/keywords-explorer</t>
        </is>
      </c>
    </row>
    <row r="393">
      <c r="A393" s="2" t="inlineStr">
        <is>
          <t>Model Specs &amp; Compatibility</t>
        </is>
      </c>
      <c r="B393" s="3" t="inlineStr">
        <is>
          <t>motorcycle body parts</t>
        </is>
      </c>
      <c r="C393" s="4" t="n">
        <v>60</v>
      </c>
      <c r="D393" s="3" t="n">
        <v>1</v>
      </c>
      <c r="E393" s="5" t="inlineStr">
        <is>
          <t>Informational</t>
        </is>
      </c>
      <c r="F393" s="5" t="inlineStr">
        <is>
          <t>Spec / compatibility page</t>
        </is>
      </c>
      <c r="G393" s="5" t="inlineStr">
        <is>
          <t>/specs/motorcycle-body-parts/</t>
        </is>
      </c>
      <c r="H393" s="6">
        <f>ROUND(MIN(100,LOG10(C393+1)*18+(10-D393)*2+IF(OR(E393="Commercial",E393="Informational / Transactional"),12,5)),0)</f>
        <v/>
      </c>
      <c r="I393" s="6">
        <f>IF(H393&gt;=85,"P1",IF(H393&gt;=70,"P2","P3"))</f>
        <v/>
      </c>
      <c r="J393" s="5" t="inlineStr">
        <is>
          <t>https://ahrefs.com/keywords-explorer</t>
        </is>
      </c>
    </row>
    <row r="394">
      <c r="A394" s="2" t="inlineStr">
        <is>
          <t>Model Specs &amp; Compatibility</t>
        </is>
      </c>
      <c r="B394" s="3" t="inlineStr">
        <is>
          <t>motorcycle wheel parts</t>
        </is>
      </c>
      <c r="C394" s="4" t="n">
        <v>60</v>
      </c>
      <c r="D394" s="3" t="n">
        <v>1</v>
      </c>
      <c r="E394" s="5" t="inlineStr">
        <is>
          <t>Informational</t>
        </is>
      </c>
      <c r="F394" s="5" t="inlineStr">
        <is>
          <t>Spec / compatibility page</t>
        </is>
      </c>
      <c r="G394" s="5" t="inlineStr">
        <is>
          <t>/specs/motorcycle-wheel-parts/</t>
        </is>
      </c>
      <c r="H394" s="6">
        <f>ROUND(MIN(100,LOG10(C394+1)*18+(10-D394)*2+IF(OR(E394="Commercial",E394="Informational / Transactional"),12,5)),0)</f>
        <v/>
      </c>
      <c r="I394" s="6">
        <f>IF(H394&gt;=85,"P1",IF(H394&gt;=70,"P2","P3"))</f>
        <v/>
      </c>
      <c r="J394" s="5" t="inlineStr">
        <is>
          <t>https://ahrefs.com/keywords-explorer</t>
        </is>
      </c>
    </row>
  </sheetData>
  <autoFilter ref="A1:J394"/>
  <conditionalFormatting sqref="H2:H3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0" customWidth="1" min="4" max="4"/>
    <col width="28" customWidth="1" min="5" max="5"/>
    <col width="28" customWidth="1" min="6" max="6"/>
    <col width="14" customWidth="1" min="7" max="7"/>
    <col width="50" customWidth="1" min="8" max="8"/>
  </cols>
  <sheetData>
    <row r="1">
      <c r="A1" s="7" t="inlineStr">
        <is>
          <t>PH Motorcycle SEO Topic Map</t>
        </is>
      </c>
    </row>
    <row r="2">
      <c r="A2" s="8" t="inlineStr">
        <is>
          <t>Ahrefs Philippines keyword set, focused on KD 0–10. Volumes are monthly estimates and should be refreshed before launch.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9" t="inlineStr">
        <is>
          <t>Cluster</t>
        </is>
      </c>
      <c r="B4" s="9" t="inlineStr">
        <is>
          <t>Keyword Count</t>
        </is>
      </c>
      <c r="C4" s="9" t="inlineStr">
        <is>
          <t>Total PH Volume</t>
        </is>
      </c>
      <c r="D4" s="9" t="inlineStr">
        <is>
          <t>Avg KD</t>
        </is>
      </c>
      <c r="E4" s="9" t="inlineStr">
        <is>
          <t>Primary Monetization</t>
        </is>
      </c>
      <c r="F4" s="9" t="inlineStr">
        <is>
          <t>Core Template</t>
        </is>
      </c>
      <c r="G4" s="9" t="inlineStr">
        <is>
          <t>Launch Phase</t>
        </is>
      </c>
      <c r="H4" s="9" t="inlineStr">
        <is>
          <t>Notes</t>
        </is>
      </c>
    </row>
    <row r="5">
      <c r="A5" s="5" t="inlineStr">
        <is>
          <t>Motorcycle Prices &amp; Models</t>
        </is>
      </c>
      <c r="B5" s="5">
        <f>COUNTIF('Master Keywords'!$A:$A,A5)</f>
        <v/>
      </c>
      <c r="C5" s="10">
        <f>SUMIF('Master Keywords'!$A:$A,A5,'Master Keywords'!$C:$C)</f>
        <v/>
      </c>
      <c r="D5" s="11">
        <f>IFERROR(AVERAGEIF('Master Keywords'!$A:$A,A5,'Master Keywords'!$D:$D),0)</f>
        <v/>
      </c>
      <c r="E5" s="5" t="inlineStr">
        <is>
          <t>Dealer leads / financing / ads</t>
        </is>
      </c>
      <c r="F5" s="5" t="inlineStr">
        <is>
          <t>Model price + specs</t>
        </is>
      </c>
      <c r="G5" s="5" t="inlineStr">
        <is>
          <t>Phase 1</t>
        </is>
      </c>
      <c r="H5" s="5" t="inlineStr">
        <is>
          <t>Traffic anchor. Build accurate model database first.</t>
        </is>
      </c>
    </row>
    <row r="6">
      <c r="A6" s="5" t="inlineStr">
        <is>
          <t>Tires &amp; Fitment</t>
        </is>
      </c>
      <c r="B6" s="5">
        <f>COUNTIF('Master Keywords'!$A:$A,A6)</f>
        <v/>
      </c>
      <c r="C6" s="10">
        <f>SUMIF('Master Keywords'!$A:$A,A6,'Master Keywords'!$C:$C)</f>
        <v/>
      </c>
      <c r="D6" s="11">
        <f>IFERROR(AVERAGEIF('Master Keywords'!$A:$A,A6,'Master Keywords'!$D:$D),0)</f>
        <v/>
      </c>
      <c r="E6" s="5" t="inlineStr">
        <is>
          <t>Tire affiliates / local leads</t>
        </is>
      </c>
      <c r="F6" s="5" t="inlineStr">
        <is>
          <t>Model tire-fitment page</t>
        </is>
      </c>
      <c r="G6" s="5" t="inlineStr">
        <is>
          <t>Phase 1</t>
        </is>
      </c>
      <c r="H6" s="5" t="inlineStr">
        <is>
          <t>Excellent pSEO fit: model × tire size × front/rear × pressure.</t>
        </is>
      </c>
    </row>
    <row r="7">
      <c r="A7" s="5" t="inlineStr">
        <is>
          <t>Helmets &amp; Safety</t>
        </is>
      </c>
      <c r="B7" s="5">
        <f>COUNTIF('Master Keywords'!$A:$A,A7)</f>
        <v/>
      </c>
      <c r="C7" s="10">
        <f>SUMIF('Master Keywords'!$A:$A,A7,'Master Keywords'!$C:$C)</f>
        <v/>
      </c>
      <c r="D7" s="11">
        <f>IFERROR(AVERAGEIF('Master Keywords'!$A:$A,A7,'Master Keywords'!$D:$D),0)</f>
        <v/>
      </c>
      <c r="E7" s="5" t="inlineStr">
        <is>
          <t>Affiliate / ecommerce / sponsors</t>
        </is>
      </c>
      <c r="F7" s="5" t="inlineStr">
        <is>
          <t>Helmet brand + price hub</t>
        </is>
      </c>
      <c r="G7" s="5" t="inlineStr">
        <is>
          <t>Phase 1</t>
        </is>
      </c>
      <c r="H7" s="5" t="inlineStr">
        <is>
          <t>Large PH demand and many KD 0 terms.</t>
        </is>
      </c>
    </row>
    <row r="8">
      <c r="A8" s="5" t="inlineStr">
        <is>
          <t>Accessories &amp; Riding Gear</t>
        </is>
      </c>
      <c r="B8" s="5">
        <f>COUNTIF('Master Keywords'!$A:$A,A8)</f>
        <v/>
      </c>
      <c r="C8" s="10">
        <f>SUMIF('Master Keywords'!$A:$A,A8,'Master Keywords'!$C:$C)</f>
        <v/>
      </c>
      <c r="D8" s="11">
        <f>IFERROR(AVERAGEIF('Master Keywords'!$A:$A,A8,'Master Keywords'!$D:$D),0)</f>
        <v/>
      </c>
      <c r="E8" s="5" t="inlineStr">
        <is>
          <t>Affiliate / ecommerce</t>
        </is>
      </c>
      <c r="F8" s="5" t="inlineStr">
        <is>
          <t>Model-accessory compatibility</t>
        </is>
      </c>
      <c r="G8" s="5" t="inlineStr">
        <is>
          <t>Phase 2</t>
        </is>
      </c>
      <c r="H8" s="5" t="inlineStr">
        <is>
          <t>Top boxes, intercoms, phone mounts, rain gear, jackets, gloves.</t>
        </is>
      </c>
    </row>
    <row r="9">
      <c r="A9" s="5" t="inlineStr">
        <is>
          <t>Maintenance &amp; Parts</t>
        </is>
      </c>
      <c r="B9" s="5">
        <f>COUNTIF('Master Keywords'!$A:$A,A9)</f>
        <v/>
      </c>
      <c r="C9" s="10">
        <f>SUMIF('Master Keywords'!$A:$A,A9,'Master Keywords'!$C:$C)</f>
        <v/>
      </c>
      <c r="D9" s="11">
        <f>IFERROR(AVERAGEIF('Master Keywords'!$A:$A,A9,'Master Keywords'!$D:$D),0)</f>
        <v/>
      </c>
      <c r="E9" s="5" t="inlineStr">
        <is>
          <t>Parts affiliate / service leads / ads</t>
        </is>
      </c>
      <c r="F9" s="5" t="inlineStr">
        <is>
          <t>Maintenance guide + part hub</t>
        </is>
      </c>
      <c r="G9" s="5" t="inlineStr">
        <is>
          <t>Phase 2</t>
        </is>
      </c>
      <c r="H9" s="5" t="inlineStr">
        <is>
          <t>Evergreen repeat traffic; supports model authority.</t>
        </is>
      </c>
    </row>
    <row r="10">
      <c r="A10" s="5" t="inlineStr">
        <is>
          <t>Ownership, LTO &amp; Insurance</t>
        </is>
      </c>
      <c r="B10" s="5">
        <f>COUNTIF('Master Keywords'!$A:$A,A10)</f>
        <v/>
      </c>
      <c r="C10" s="10">
        <f>SUMIF('Master Keywords'!$A:$A,A10,'Master Keywords'!$C:$C)</f>
        <v/>
      </c>
      <c r="D10" s="11">
        <f>IFERROR(AVERAGEIF('Master Keywords'!$A:$A,A10,'Master Keywords'!$D:$D),0)</f>
        <v/>
      </c>
      <c r="E10" s="5" t="inlineStr">
        <is>
          <t>Insurance leads / ads</t>
        </is>
      </c>
      <c r="F10" s="5" t="inlineStr">
        <is>
          <t>LTO process + fee page</t>
        </is>
      </c>
      <c r="G10" s="5" t="inlineStr">
        <is>
          <t>Phase 2</t>
        </is>
      </c>
      <c r="H10" s="5" t="inlineStr">
        <is>
          <t>High utility. Must cite official sources and maintain freshness.</t>
        </is>
      </c>
    </row>
    <row r="11">
      <c r="A11" s="5" t="inlineStr">
        <is>
          <t>Comparisons &amp; Buying Guides</t>
        </is>
      </c>
      <c r="B11" s="5">
        <f>COUNTIF('Master Keywords'!$A:$A,A11)</f>
        <v/>
      </c>
      <c r="C11" s="10">
        <f>SUMIF('Master Keywords'!$A:$A,A11,'Master Keywords'!$C:$C)</f>
        <v/>
      </c>
      <c r="D11" s="11">
        <f>IFERROR(AVERAGEIF('Master Keywords'!$A:$A,A11,'Master Keywords'!$D:$D),0)</f>
        <v/>
      </c>
      <c r="E11" s="5" t="inlineStr">
        <is>
          <t>Dealer leads / affiliate</t>
        </is>
      </c>
      <c r="F11" s="5" t="inlineStr">
        <is>
          <t>Comparison / best-of</t>
        </is>
      </c>
      <c r="G11" s="5" t="inlineStr">
        <is>
          <t>Phase 1</t>
        </is>
      </c>
      <c r="H11" s="5" t="inlineStr">
        <is>
          <t>Strong mid-funnel content and internal-link bridge.</t>
        </is>
      </c>
    </row>
    <row r="12">
      <c r="A12" s="5" t="inlineStr">
        <is>
          <t>Financing &amp; Installments</t>
        </is>
      </c>
      <c r="B12" s="5">
        <f>COUNTIF('Master Keywords'!$A:$A,A12)</f>
        <v/>
      </c>
      <c r="C12" s="10">
        <f>SUMIF('Master Keywords'!$A:$A,A12,'Master Keywords'!$C:$C)</f>
        <v/>
      </c>
      <c r="D12" s="11">
        <f>IFERROR(AVERAGEIF('Master Keywords'!$A:$A,A12,'Master Keywords'!$D:$D),0)</f>
        <v/>
      </c>
      <c r="E12" s="5" t="inlineStr">
        <is>
          <t>Finance/dealer leads</t>
        </is>
      </c>
      <c r="F12" s="5" t="inlineStr">
        <is>
          <t>Loan/installment calculator</t>
        </is>
      </c>
      <c r="G12" s="5" t="inlineStr">
        <is>
          <t>Phase 1</t>
        </is>
      </c>
      <c r="H12" s="5" t="inlineStr">
        <is>
          <t>Highest commercial value even at lower volume.</t>
        </is>
      </c>
    </row>
    <row r="13">
      <c r="A13" s="5" t="inlineStr">
        <is>
          <t>Local Shops &amp; Dealers</t>
        </is>
      </c>
      <c r="B13" s="5">
        <f>COUNTIF('Master Keywords'!$A:$A,A13)</f>
        <v/>
      </c>
      <c r="C13" s="10">
        <f>SUMIF('Master Keywords'!$A:$A,A13,'Master Keywords'!$C:$C)</f>
        <v/>
      </c>
      <c r="D13" s="11">
        <f>IFERROR(AVERAGEIF('Master Keywords'!$A:$A,A13,'Master Keywords'!$D:$D),0)</f>
        <v/>
      </c>
      <c r="E13" s="5" t="inlineStr">
        <is>
          <t>Dealer/service leads</t>
        </is>
      </c>
      <c r="F13" s="5" t="inlineStr">
        <is>
          <t>City/category directory</t>
        </is>
      </c>
      <c r="G13" s="5" t="inlineStr">
        <is>
          <t>Phase 3</t>
        </is>
      </c>
      <c r="H13" s="5" t="inlineStr">
        <is>
          <t>Useful after the main model database has authority.</t>
        </is>
      </c>
    </row>
    <row r="14">
      <c r="A14" s="5" t="inlineStr">
        <is>
          <t>Model Specs &amp; Compatibility</t>
        </is>
      </c>
      <c r="B14" s="5">
        <f>COUNTIF('Master Keywords'!$A:$A,A14)</f>
        <v/>
      </c>
      <c r="C14" s="10">
        <f>SUMIF('Master Keywords'!$A:$A,A14,'Master Keywords'!$C:$C)</f>
        <v/>
      </c>
      <c r="D14" s="11">
        <f>IFERROR(AVERAGEIF('Master Keywords'!$A:$A,A14,'Master Keywords'!$D:$D),0)</f>
        <v/>
      </c>
      <c r="E14" s="5" t="inlineStr">
        <is>
          <t>Affiliate / ads</t>
        </is>
      </c>
      <c r="F14" s="5" t="inlineStr">
        <is>
          <t>Spec database page</t>
        </is>
      </c>
      <c r="G14" s="5" t="inlineStr">
        <is>
          <t>Phase 2</t>
        </is>
      </c>
      <c r="H14" s="5" t="inlineStr">
        <is>
          <t>Programmatic support pages from structured specs.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20" customWidth="1" min="4" max="4"/>
    <col width="11" customWidth="1" min="5" max="5"/>
    <col width="28" customWidth="1" min="6" max="6"/>
    <col width="46" customWidth="1" min="7" max="7"/>
    <col width="38" customWidth="1" min="8" max="8"/>
    <col width="15" customWidth="1" min="9" max="9"/>
    <col width="12" customWidth="1" min="10" max="10"/>
    <col width="15" customWidth="1" min="11" max="11"/>
    <col width="14" customWidth="1" min="12" max="12"/>
    <col hidden="1" width="13" customWidth="1" min="14" max="14"/>
    <col hidden="1" width="13" customWidth="1" min="15" max="15"/>
  </cols>
  <sheetData>
    <row r="1" ht="28" customHeight="1">
      <c r="A1" s="13" t="inlineStr">
        <is>
          <t>MotoIndex PH — Volume-First Build Roadmap</t>
        </is>
      </c>
    </row>
    <row r="2" ht="34" customHeight="1">
      <c r="A2" s="8" t="inlineStr">
        <is>
          <t>Built from the 393-keyword Philippines dataset plus a current MotoIndex route/data review. Search volumes are Ahrefs estimates; grouped volumes overlap and are not unique visitors.</t>
        </is>
      </c>
      <c r="N2" s="14" t="inlineStr">
        <is>
          <t>Scoring controls</t>
        </is>
      </c>
    </row>
    <row r="3">
      <c r="N3" t="inlineStr">
        <is>
          <t>Volume weight</t>
        </is>
      </c>
      <c r="O3" s="15" t="n">
        <v>0.6</v>
      </c>
    </row>
    <row r="4">
      <c r="A4" s="16" t="inlineStr">
        <is>
          <t>Total keyword volume/mo</t>
        </is>
      </c>
      <c r="D4" s="16" t="inlineStr">
        <is>
          <t>Prices &amp; models/mo</t>
        </is>
      </c>
      <c r="G4" s="16" t="inlineStr">
        <is>
          <t>Helmets &amp; safety/mo</t>
        </is>
      </c>
      <c r="J4" s="16" t="inlineStr">
        <is>
          <t>Tires &amp; fitment/mo</t>
        </is>
      </c>
      <c r="N4" t="inlineStr">
        <is>
          <t>KD weight</t>
        </is>
      </c>
      <c r="O4" s="15" t="n">
        <v>0.15</v>
      </c>
    </row>
    <row r="5">
      <c r="A5" s="17" t="n">
        <v>469610</v>
      </c>
      <c r="D5" s="17" t="n">
        <v>269660</v>
      </c>
      <c r="G5" s="17" t="n">
        <v>120700</v>
      </c>
      <c r="J5" s="17" t="n">
        <v>18000</v>
      </c>
      <c r="N5" t="inlineStr">
        <is>
          <t>Monetization weight</t>
        </is>
      </c>
      <c r="O5" s="15" t="n">
        <v>0.15</v>
      </c>
    </row>
    <row r="6">
      <c r="N6" t="inlineStr">
        <is>
          <t>Effort weight</t>
        </is>
      </c>
      <c r="O6" s="15" t="n">
        <v>0.1</v>
      </c>
    </row>
    <row r="7" ht="38" customHeight="1">
      <c r="A7" s="18" t="inlineStr">
        <is>
          <t>Volume Rank</t>
        </is>
      </c>
      <c r="B7" s="18" t="inlineStr">
        <is>
          <t>Build target</t>
        </is>
      </c>
      <c r="C7" s="18" t="inlineStr">
        <is>
          <t>Cluster</t>
        </is>
      </c>
      <c r="D7" s="18" t="inlineStr">
        <is>
          <t>Addressable keyword volume/mo</t>
        </is>
      </c>
      <c r="E7" s="18" t="inlineStr">
        <is>
          <t>Primary KD</t>
        </is>
      </c>
      <c r="F7" s="18" t="inlineStr">
        <is>
          <t>Current MotoIndex status</t>
        </is>
      </c>
      <c r="G7" s="18" t="inlineStr">
        <is>
          <t>Recommended action</t>
        </is>
      </c>
      <c r="H7" s="18" t="inlineStr">
        <is>
          <t>Target URL</t>
        </is>
      </c>
      <c r="I7" s="18" t="inlineStr">
        <is>
          <t>Monetization</t>
        </is>
      </c>
      <c r="J7" s="18" t="inlineStr">
        <is>
          <t>Effort</t>
        </is>
      </c>
      <c r="K7" s="18" t="inlineStr">
        <is>
          <t>Priority Score</t>
        </is>
      </c>
      <c r="L7" s="18" t="inlineStr">
        <is>
          <t>Phase</t>
        </is>
      </c>
    </row>
    <row r="8" ht="58" customHeight="1">
      <c r="A8" s="19" t="n">
        <v>1</v>
      </c>
      <c r="B8" s="19" t="inlineStr">
        <is>
          <t>Yamaha Aerox V3 price landing</t>
        </is>
      </c>
      <c r="C8" s="19" t="inlineStr">
        <is>
          <t>Motorcycle Prices &amp; Models</t>
        </is>
      </c>
      <c r="D8" s="20" t="n">
        <v>43000</v>
      </c>
      <c r="E8" s="21" t="n">
        <v>0</v>
      </c>
      <c r="F8" s="19" t="inlineStr">
        <is>
          <t>Shipped v2.4.0</t>
        </is>
      </c>
      <c r="G8" s="19" t="inlineStr">
        <is>
          <t>Maintain price freshness and Search Console CTR; do not create alias pages.</t>
        </is>
      </c>
      <c r="H8" s="21" t="inlineStr">
        <is>
          <t>/motorcycles/yamaha/aerox-v3/price/</t>
        </is>
      </c>
      <c r="I8" s="22" t="inlineStr">
        <is>
          <t>High</t>
        </is>
      </c>
      <c r="J8" s="22" t="inlineStr">
        <is>
          <t>Low</t>
        </is>
      </c>
      <c r="K8" s="23">
        <f>ROUND($O$3*(LOG10(D8+1)/LOG10(MAX($D$8:$D$27)+1)*100)+$O$4*((10-MIN(E8,10))*10)+$O$5*IF(I8="High",100,IF(I8="Medium",60,30))+$O$6*IF(J8="Low",100,IF(J8="Medium",60,30)),0)</f>
        <v/>
      </c>
      <c r="L8" s="19" t="inlineStr">
        <is>
          <t>P0</t>
        </is>
      </c>
    </row>
    <row r="9" ht="58" customHeight="1">
      <c r="A9" s="19" t="n">
        <v>2</v>
      </c>
      <c r="B9" s="19" t="inlineStr">
        <is>
          <t>Honda ADV 160 price landing</t>
        </is>
      </c>
      <c r="C9" s="19" t="inlineStr">
        <is>
          <t>Motorcycle Prices &amp; Models</t>
        </is>
      </c>
      <c r="D9" s="20" t="n">
        <v>28800</v>
      </c>
      <c r="E9" s="21" t="n">
        <v>0</v>
      </c>
      <c r="F9" s="19" t="inlineStr">
        <is>
          <t>Shipped v2.4.0</t>
        </is>
      </c>
      <c r="G9" s="19" t="inlineStr">
        <is>
          <t>Maintain source freshness and strengthen dealer/finance conversion when real partners exist.</t>
        </is>
      </c>
      <c r="H9" s="21" t="inlineStr">
        <is>
          <t>/motorcycles/honda/adv-160/price/</t>
        </is>
      </c>
      <c r="I9" s="22" t="inlineStr">
        <is>
          <t>High</t>
        </is>
      </c>
      <c r="J9" s="22" t="inlineStr">
        <is>
          <t>Low</t>
        </is>
      </c>
      <c r="K9" s="23">
        <f>ROUND($O$3*(LOG10(D9+1)/LOG10(MAX($D$8:$D$27)+1)*100)+$O$4*((10-MIN(E9,10))*10)+$O$5*IF(I9="High",100,IF(I9="Medium",60,30))+$O$6*IF(J9="Low",100,IF(J9="Medium",60,30)),0)</f>
        <v/>
      </c>
      <c r="L9" s="19" t="inlineStr">
        <is>
          <t>P0</t>
        </is>
      </c>
    </row>
    <row r="10" ht="58" customHeight="1">
      <c r="A10" s="19" t="n">
        <v>3</v>
      </c>
      <c r="B10" s="19" t="inlineStr">
        <is>
          <t>Yamaha NMAX price / family hub</t>
        </is>
      </c>
      <c r="C10" s="19" t="inlineStr">
        <is>
          <t>Motorcycle Prices &amp; Models</t>
        </is>
      </c>
      <c r="D10" s="20" t="n">
        <v>25800</v>
      </c>
      <c r="E10" s="21" t="n">
        <v>0</v>
      </c>
      <c r="F10" s="19" t="inlineStr">
        <is>
          <t>Shipped v2.4.0</t>
        </is>
      </c>
      <c r="G10" s="19" t="inlineStr">
        <is>
          <t>Family hub is live; monitor generic NMAX query cannibalization across generation pages.</t>
        </is>
      </c>
      <c r="H10" s="21" t="inlineStr">
        <is>
          <t>/motorcycles/yamaha/nmax/</t>
        </is>
      </c>
      <c r="I10" s="22" t="inlineStr">
        <is>
          <t>High</t>
        </is>
      </c>
      <c r="J10" s="22" t="inlineStr">
        <is>
          <t>Low</t>
        </is>
      </c>
      <c r="K10" s="23">
        <f>ROUND($O$3*(LOG10(D10+1)/LOG10(MAX($D$8:$D$27)+1)*100)+$O$4*((10-MIN(E10,10))*10)+$O$5*IF(I10="High",100,IF(I10="Medium",60,30))+$O$6*IF(J10="Low",100,IF(J10="Medium",60,30)),0)</f>
        <v/>
      </c>
      <c r="L10" s="19" t="inlineStr">
        <is>
          <t>P0</t>
        </is>
      </c>
    </row>
    <row r="11" ht="58" customHeight="1">
      <c r="A11" s="19" t="n">
        <v>4</v>
      </c>
      <c r="B11" s="19" t="inlineStr">
        <is>
          <t>Yamaha Aerox V2 price landing</t>
        </is>
      </c>
      <c r="C11" s="19" t="inlineStr">
        <is>
          <t>Motorcycle Prices &amp; Models</t>
        </is>
      </c>
      <c r="D11" s="20" t="n">
        <v>20000</v>
      </c>
      <c r="E11" s="21" t="n">
        <v>8</v>
      </c>
      <c r="F11" s="19" t="inlineStr">
        <is>
          <t>Shipped v2.4.0</t>
        </is>
      </c>
      <c r="G11" s="19" t="inlineStr">
        <is>
          <t>Generation page is live; keep used/new intent linked rather than duplicating pages.</t>
        </is>
      </c>
      <c r="H11" s="21" t="inlineStr">
        <is>
          <t>/motorcycles/yamaha/aerox-v2/price/</t>
        </is>
      </c>
      <c r="I11" s="22" t="inlineStr">
        <is>
          <t>High</t>
        </is>
      </c>
      <c r="J11" s="22" t="inlineStr">
        <is>
          <t>Low</t>
        </is>
      </c>
      <c r="K11" s="23">
        <f>ROUND($O$3*(LOG10(D11+1)/LOG10(MAX($D$8:$D$27)+1)*100)+$O$4*((10-MIN(E11,10))*10)+$O$5*IF(I11="High",100,IF(I11="Medium",60,30))+$O$6*IF(J11="Low",100,IF(J11="Medium",60,30)),0)</f>
        <v/>
      </c>
      <c r="L11" s="19" t="inlineStr">
        <is>
          <t>P0</t>
        </is>
      </c>
    </row>
    <row r="12" ht="58" customHeight="1">
      <c r="A12" s="19" t="n">
        <v>5</v>
      </c>
      <c r="B12" s="19" t="inlineStr">
        <is>
          <t>Yamaha Aerox family price hub</t>
        </is>
      </c>
      <c r="C12" s="19" t="inlineStr">
        <is>
          <t>Motorcycle Prices &amp; Models</t>
        </is>
      </c>
      <c r="D12" s="20" t="n">
        <v>18100</v>
      </c>
      <c r="E12" s="21" t="n">
        <v>8</v>
      </c>
      <c r="F12" s="19" t="inlineStr">
        <is>
          <t>Shipped v2.4.0</t>
        </is>
      </c>
      <c r="G12" s="19" t="inlineStr">
        <is>
          <t>Family hub is live; keep V2/V3 targeting separate and canonical.</t>
        </is>
      </c>
      <c r="H12" s="21" t="inlineStr">
        <is>
          <t>/motorcycles/yamaha/aerox/</t>
        </is>
      </c>
      <c r="I12" s="22" t="inlineStr">
        <is>
          <t>High</t>
        </is>
      </c>
      <c r="J12" s="22" t="inlineStr">
        <is>
          <t>Low</t>
        </is>
      </c>
      <c r="K12" s="23">
        <f>ROUND($O$3*(LOG10(D12+1)/LOG10(MAX($D$8:$D$27)+1)*100)+$O$4*((10-MIN(E12,10))*10)+$O$5*IF(I12="High",100,IF(I12="Medium",60,30))+$O$6*IF(J12="Low",100,IF(J12="Medium",60,30)),0)</f>
        <v/>
      </c>
      <c r="L12" s="19" t="inlineStr">
        <is>
          <t>P0</t>
        </is>
      </c>
    </row>
    <row r="13" ht="58" customHeight="1">
      <c r="A13" s="19" t="n">
        <v>6</v>
      </c>
      <c r="B13" s="19" t="inlineStr">
        <is>
          <t>Honda PCX / PCX 160 price hub</t>
        </is>
      </c>
      <c r="C13" s="19" t="inlineStr">
        <is>
          <t>Motorcycle Prices &amp; Models</t>
        </is>
      </c>
      <c r="D13" s="20" t="n">
        <v>16700</v>
      </c>
      <c r="E13" s="21" t="n">
        <v>0</v>
      </c>
      <c r="F13" s="19" t="inlineStr">
        <is>
          <t>Shipped v2.4.0</t>
        </is>
      </c>
      <c r="G13" s="19" t="inlineStr">
        <is>
          <t>PCX/PCX160 price coverage is live; refresh current price observations.</t>
        </is>
      </c>
      <c r="H13" s="21" t="inlineStr">
        <is>
          <t>/motorcycles/honda/pcx-160/price/</t>
        </is>
      </c>
      <c r="I13" s="22" t="inlineStr">
        <is>
          <t>High</t>
        </is>
      </c>
      <c r="J13" s="22" t="inlineStr">
        <is>
          <t>Low</t>
        </is>
      </c>
      <c r="K13" s="23">
        <f>ROUND($O$3*(LOG10(D13+1)/LOG10(MAX($D$8:$D$27)+1)*100)+$O$4*((10-MIN(E13,10))*10)+$O$5*IF(I13="High",100,IF(I13="Medium",60,30))+$O$6*IF(J13="Low",100,IF(J13="Medium",60,30)),0)</f>
        <v/>
      </c>
      <c r="L13" s="19" t="inlineStr">
        <is>
          <t>P0</t>
        </is>
      </c>
    </row>
    <row r="14" ht="58" customHeight="1">
      <c r="A14" s="19" t="n">
        <v>7</v>
      </c>
      <c r="B14" s="19" t="inlineStr">
        <is>
          <t>Tire fitment page expansion</t>
        </is>
      </c>
      <c r="C14" s="19" t="inlineStr">
        <is>
          <t>Tires &amp; Fitment</t>
        </is>
      </c>
      <c r="D14" s="20" t="n">
        <v>16250</v>
      </c>
      <c r="E14" s="21" t="n">
        <v>0</v>
      </c>
      <c r="F14" s="19" t="inlineStr">
        <is>
          <t>Shipped v2.4.1</t>
        </is>
      </c>
      <c r="G14" s="19" t="inlineStr">
        <is>
          <t>High-volume tire family hubs and model tire pages are live; expand only with verified fitment data.</t>
        </is>
      </c>
      <c r="H14" s="21" t="inlineStr">
        <is>
          <t>/tires</t>
        </is>
      </c>
      <c r="I14" s="22" t="inlineStr">
        <is>
          <t>High</t>
        </is>
      </c>
      <c r="J14" s="22" t="inlineStr">
        <is>
          <t>Medium</t>
        </is>
      </c>
      <c r="K14" s="23">
        <f>ROUND($O$3*(LOG10(D14+1)/LOG10(MAX($D$8:$D$27)+1)*100)+$O$4*((10-MIN(E14,10))*10)+$O$5*IF(I14="High",100,IF(I14="Medium",60,30))+$O$6*IF(J14="Low",100,IF(J14="Medium",60,30)),0)</f>
        <v/>
      </c>
      <c r="L14" s="19" t="inlineStr">
        <is>
          <t>P1</t>
        </is>
      </c>
    </row>
    <row r="15" ht="58" customHeight="1">
      <c r="A15" s="19" t="n">
        <v>8</v>
      </c>
      <c r="B15" s="19" t="inlineStr">
        <is>
          <t>Honda Click 160 price landing</t>
        </is>
      </c>
      <c r="C15" s="19" t="inlineStr">
        <is>
          <t>Motorcycle Prices &amp; Models</t>
        </is>
      </c>
      <c r="D15" s="20" t="n">
        <v>16000</v>
      </c>
      <c r="E15" s="21" t="n">
        <v>0</v>
      </c>
      <c r="F15" s="19" t="inlineStr">
        <is>
          <t>Shipped v2.4.0</t>
        </is>
      </c>
      <c r="G15" s="19" t="inlineStr">
        <is>
          <t>Click 160 price intent is covered; maintain variants and dated prices.</t>
        </is>
      </c>
      <c r="H15" s="21" t="inlineStr">
        <is>
          <t>/motorcycles/honda/click-160/price/</t>
        </is>
      </c>
      <c r="I15" s="22" t="inlineStr">
        <is>
          <t>High</t>
        </is>
      </c>
      <c r="J15" s="22" t="inlineStr">
        <is>
          <t>Low</t>
        </is>
      </c>
      <c r="K15" s="23">
        <f>ROUND($O$3*(LOG10(D15+1)/LOG10(MAX($D$8:$D$27)+1)*100)+$O$4*((10-MIN(E15,10))*10)+$O$5*IF(I15="High",100,IF(I15="Medium",60,30))+$O$6*IF(J15="Low",100,IF(J15="Medium",60,30)),0)</f>
        <v/>
      </c>
      <c r="L15" s="19" t="inlineStr">
        <is>
          <t>P0</t>
        </is>
      </c>
    </row>
    <row r="16" ht="58" customHeight="1">
      <c r="A16" s="19" t="n">
        <v>9</v>
      </c>
      <c r="B16" s="19" t="inlineStr">
        <is>
          <t>EVO helmet brand + price hub</t>
        </is>
      </c>
      <c r="C16" s="19" t="inlineStr">
        <is>
          <t>Helmets &amp; Safety</t>
        </is>
      </c>
      <c r="D16" s="20" t="n">
        <v>15700</v>
      </c>
      <c r="E16" s="21" t="n">
        <v>0</v>
      </c>
      <c r="F16" s="19" t="inlineStr">
        <is>
          <t>Shipped / deepen</t>
        </is>
      </c>
      <c r="G16" s="19" t="inlineStr">
        <is>
          <t>EVO brand hub is live; add products only when source-backed.</t>
        </is>
      </c>
      <c r="H16" s="21" t="inlineStr">
        <is>
          <t>/gear/helmets/evo/</t>
        </is>
      </c>
      <c r="I16" s="22" t="inlineStr">
        <is>
          <t>High</t>
        </is>
      </c>
      <c r="J16" s="22" t="inlineStr">
        <is>
          <t>Medium</t>
        </is>
      </c>
      <c r="K16" s="23">
        <f>ROUND($O$3*(LOG10(D16+1)/LOG10(MAX($D$8:$D$27)+1)*100)+$O$4*((10-MIN(E16,10))*10)+$O$5*IF(I16="High",100,IF(I16="Medium",60,30))+$O$6*IF(J16="Low",100,IF(J16="Medium",60,30)),0)</f>
        <v/>
      </c>
      <c r="L16" s="19" t="inlineStr">
        <is>
          <t>P1</t>
        </is>
      </c>
    </row>
    <row r="17" ht="58" customHeight="1">
      <c r="A17" s="19" t="n">
        <v>10</v>
      </c>
      <c r="B17" s="19" t="inlineStr">
        <is>
          <t>Yamaha NMAX V3 price landing</t>
        </is>
      </c>
      <c r="C17" s="19" t="inlineStr">
        <is>
          <t>Motorcycle Prices &amp; Models</t>
        </is>
      </c>
      <c r="D17" s="20" t="n">
        <v>14800</v>
      </c>
      <c r="E17" s="21" t="n">
        <v>0</v>
      </c>
      <c r="F17" s="19" t="inlineStr">
        <is>
          <t>Shipped v2.4.0</t>
        </is>
      </c>
      <c r="G17" s="19" t="inlineStr">
        <is>
          <t>NMAX V3 price page is live; maintain current source date.</t>
        </is>
      </c>
      <c r="H17" s="21" t="inlineStr">
        <is>
          <t>/motorcycles/yamaha/nmax-v3/price/</t>
        </is>
      </c>
      <c r="I17" s="22" t="inlineStr">
        <is>
          <t>High</t>
        </is>
      </c>
      <c r="J17" s="22" t="inlineStr">
        <is>
          <t>Low</t>
        </is>
      </c>
      <c r="K17" s="23">
        <f>ROUND($O$3*(LOG10(D17+1)/LOG10(MAX($D$8:$D$27)+1)*100)+$O$4*((10-MIN(E17,10))*10)+$O$5*IF(I17="High",100,IF(I17="Medium",60,30))+$O$6*IF(J17="Low",100,IF(J17="Medium",60,30)),0)</f>
        <v/>
      </c>
      <c r="L17" s="19" t="inlineStr">
        <is>
          <t>P0</t>
        </is>
      </c>
    </row>
    <row r="18" ht="58" customHeight="1">
      <c r="A18" s="19" t="n">
        <v>11</v>
      </c>
      <c r="B18" s="19" t="inlineStr">
        <is>
          <t>Spyder helmet brand + price hub</t>
        </is>
      </c>
      <c r="C18" s="19" t="inlineStr">
        <is>
          <t>Helmets &amp; Safety</t>
        </is>
      </c>
      <c r="D18" s="20" t="n">
        <v>13200</v>
      </c>
      <c r="E18" s="21" t="n">
        <v>0</v>
      </c>
      <c r="F18" s="19" t="inlineStr">
        <is>
          <t>Shipped / deepen</t>
        </is>
      </c>
      <c r="G18" s="19" t="inlineStr">
        <is>
          <t>Spyder brand hub is live; improve product breadth when verified.</t>
        </is>
      </c>
      <c r="H18" s="21" t="inlineStr">
        <is>
          <t>/gear/helmets/spyder/</t>
        </is>
      </c>
      <c r="I18" s="22" t="inlineStr">
        <is>
          <t>High</t>
        </is>
      </c>
      <c r="J18" s="22" t="inlineStr">
        <is>
          <t>Medium</t>
        </is>
      </c>
      <c r="K18" s="23">
        <f>ROUND($O$3*(LOG10(D18+1)/LOG10(MAX($D$8:$D$27)+1)*100)+$O$4*((10-MIN(E18,10))*10)+$O$5*IF(I18="High",100,IF(I18="Medium",60,30))+$O$6*IF(J18="Low",100,IF(J18="Medium",60,30)),0)</f>
        <v/>
      </c>
      <c r="L18" s="19" t="inlineStr">
        <is>
          <t>P1</t>
        </is>
      </c>
    </row>
    <row r="19" ht="58" customHeight="1">
      <c r="A19" s="19" t="n">
        <v>12</v>
      </c>
      <c r="B19" s="19" t="inlineStr">
        <is>
          <t>KYT helmet brand hub</t>
        </is>
      </c>
      <c r="C19" s="19" t="inlineStr">
        <is>
          <t>Helmets &amp; Safety</t>
        </is>
      </c>
      <c r="D19" s="20" t="n">
        <v>11000</v>
      </c>
      <c r="E19" s="21" t="n">
        <v>0</v>
      </c>
      <c r="F19" s="19" t="inlineStr">
        <is>
          <t>Shipped / deepen</t>
        </is>
      </c>
      <c r="G19" s="19" t="inlineStr">
        <is>
          <t>KYT brand hub is live; improve product breadth when verified.</t>
        </is>
      </c>
      <c r="H19" s="21" t="inlineStr">
        <is>
          <t>/gear/helmets/kyt/</t>
        </is>
      </c>
      <c r="I19" s="22" t="inlineStr">
        <is>
          <t>High</t>
        </is>
      </c>
      <c r="J19" s="22" t="inlineStr">
        <is>
          <t>Medium</t>
        </is>
      </c>
      <c r="K19" s="23">
        <f>ROUND($O$3*(LOG10(D19+1)/LOG10(MAX($D$8:$D$27)+1)*100)+$O$4*((10-MIN(E19,10))*10)+$O$5*IF(I19="High",100,IF(I19="Medium",60,30))+$O$6*IF(J19="Low",100,IF(J19="Medium",60,30)),0)</f>
        <v/>
      </c>
      <c r="L19" s="19" t="inlineStr">
        <is>
          <t>P1</t>
        </is>
      </c>
    </row>
    <row r="20" ht="58" customHeight="1">
      <c r="A20" s="19" t="n">
        <v>13</v>
      </c>
      <c r="B20" s="19" t="inlineStr">
        <is>
          <t>Gille helmet brand + price hub</t>
        </is>
      </c>
      <c r="C20" s="19" t="inlineStr">
        <is>
          <t>Helmets &amp; Safety</t>
        </is>
      </c>
      <c r="D20" s="20" t="n">
        <v>9700</v>
      </c>
      <c r="E20" s="21" t="n">
        <v>0</v>
      </c>
      <c r="F20" s="19" t="inlineStr">
        <is>
          <t>Shipped / deepen</t>
        </is>
      </c>
      <c r="G20" s="19" t="inlineStr">
        <is>
          <t>Gille brand hub is live; improve product breadth when verified.</t>
        </is>
      </c>
      <c r="H20" s="21" t="inlineStr">
        <is>
          <t>/gear/helmets/gille/</t>
        </is>
      </c>
      <c r="I20" s="22" t="inlineStr">
        <is>
          <t>High</t>
        </is>
      </c>
      <c r="J20" s="22" t="inlineStr">
        <is>
          <t>Medium</t>
        </is>
      </c>
      <c r="K20" s="23">
        <f>ROUND($O$3*(LOG10(D20+1)/LOG10(MAX($D$8:$D$27)+1)*100)+$O$4*((10-MIN(E20,10))*10)+$O$5*IF(I20="High",100,IF(I20="Medium",60,30))+$O$6*IF(J20="Low",100,IF(J20="Medium",60,30)),0)</f>
        <v/>
      </c>
      <c r="L20" s="19" t="inlineStr">
        <is>
          <t>P1</t>
        </is>
      </c>
    </row>
    <row r="21" ht="58" customHeight="1">
      <c r="A21" s="19" t="n">
        <v>14</v>
      </c>
      <c r="B21" s="19" t="inlineStr">
        <is>
          <t>Generic motorcycle helmet hub</t>
        </is>
      </c>
      <c r="C21" s="19" t="inlineStr">
        <is>
          <t>Helmets &amp; Safety</t>
        </is>
      </c>
      <c r="D21" s="20" t="n">
        <v>9100</v>
      </c>
      <c r="E21" s="21" t="n">
        <v>2</v>
      </c>
      <c r="F21" s="19" t="inlineStr">
        <is>
          <t>Shipped v2.4.0</t>
        </is>
      </c>
      <c r="G21" s="19" t="inlineStr">
        <is>
          <t>Generic helmet hub is live; focus next on brand-comparison intent and catalog freshness.</t>
        </is>
      </c>
      <c r="H21" s="21" t="inlineStr">
        <is>
          <t>/gear/helmets/</t>
        </is>
      </c>
      <c r="I21" s="22" t="inlineStr">
        <is>
          <t>High</t>
        </is>
      </c>
      <c r="J21" s="22" t="inlineStr">
        <is>
          <t>Low</t>
        </is>
      </c>
      <c r="K21" s="23">
        <f>ROUND($O$3*(LOG10(D21+1)/LOG10(MAX($D$8:$D$27)+1)*100)+$O$4*((10-MIN(E21,10))*10)+$O$5*IF(I21="High",100,IF(I21="Medium",60,30))+$O$6*IF(J21="Low",100,IF(J21="Medium",60,30)),0)</f>
        <v/>
      </c>
      <c r="L21" s="19" t="inlineStr">
        <is>
          <t>P1</t>
        </is>
      </c>
    </row>
    <row r="22" ht="58" customHeight="1">
      <c r="A22" s="19" t="n">
        <v>15</v>
      </c>
      <c r="B22" s="19" t="inlineStr">
        <is>
          <t>Top box buying + fitment hub</t>
        </is>
      </c>
      <c r="C22" s="19" t="inlineStr">
        <is>
          <t>Accessories &amp; Riding Gear</t>
        </is>
      </c>
      <c r="D22" s="20" t="n">
        <v>8730</v>
      </c>
      <c r="E22" s="21" t="n">
        <v>0</v>
      </c>
      <c r="F22" s="19" t="inlineStr">
        <is>
          <t>Shipped v2.4.1</t>
        </is>
      </c>
      <c r="G22" s="19" t="inlineStr">
        <is>
          <t>Top-box buying and fitment hub is live; expand only with explicit fitment edges.</t>
        </is>
      </c>
      <c r="H22" s="21" t="inlineStr">
        <is>
          <t>/accessories/top-box/</t>
        </is>
      </c>
      <c r="I22" s="22" t="inlineStr">
        <is>
          <t>High</t>
        </is>
      </c>
      <c r="J22" s="22" t="inlineStr">
        <is>
          <t>Medium</t>
        </is>
      </c>
      <c r="K22" s="23">
        <f>ROUND($O$3*(LOG10(D22+1)/LOG10(MAX($D$8:$D$27)+1)*100)+$O$4*((10-MIN(E22,10))*10)+$O$5*IF(I22="High",100,IF(I22="Medium",60,30))+$O$6*IF(J22="Low",100,IF(J22="Medium",60,30)),0)</f>
        <v/>
      </c>
      <c r="L22" s="19" t="inlineStr">
        <is>
          <t>P1</t>
        </is>
      </c>
    </row>
    <row r="23" ht="58" customHeight="1">
      <c r="A23" s="19" t="n">
        <v>16</v>
      </c>
      <c r="B23" s="19" t="inlineStr">
        <is>
          <t>Yamaha Fazzio price landing</t>
        </is>
      </c>
      <c r="C23" s="19" t="inlineStr">
        <is>
          <t>Motorcycle Prices &amp; Models</t>
        </is>
      </c>
      <c r="D23" s="20" t="n">
        <v>7600</v>
      </c>
      <c r="E23" s="21" t="n">
        <v>0</v>
      </c>
      <c r="F23" s="19" t="inlineStr">
        <is>
          <t>Shipped v2.4.0</t>
        </is>
      </c>
      <c r="G23" s="19" t="inlineStr">
        <is>
          <t>Fazzio price page is live; maintain current SRP and variant mapping.</t>
        </is>
      </c>
      <c r="H23" s="21" t="inlineStr">
        <is>
          <t>/motorcycles/yamaha/fazzio/price/</t>
        </is>
      </c>
      <c r="I23" s="22" t="inlineStr">
        <is>
          <t>High</t>
        </is>
      </c>
      <c r="J23" s="22" t="inlineStr">
        <is>
          <t>Low</t>
        </is>
      </c>
      <c r="K23" s="23">
        <f>ROUND($O$3*(LOG10(D23+1)/LOG10(MAX($D$8:$D$27)+1)*100)+$O$4*((10-MIN(E23,10))*10)+$O$5*IF(I23="High",100,IF(I23="Medium",60,30))+$O$6*IF(J23="Low",100,IF(J23="Medium",60,30)),0)</f>
        <v/>
      </c>
      <c r="L23" s="19" t="inlineStr">
        <is>
          <t>P1</t>
        </is>
      </c>
    </row>
    <row r="24" ht="58" customHeight="1">
      <c r="A24" s="19" t="n">
        <v>17</v>
      </c>
      <c r="B24" s="19" t="inlineStr">
        <is>
          <t>SEC helmet brand + price hub</t>
        </is>
      </c>
      <c r="C24" s="19" t="inlineStr">
        <is>
          <t>Helmets &amp; Safety</t>
        </is>
      </c>
      <c r="D24" s="20" t="n">
        <v>7100</v>
      </c>
      <c r="E24" s="21" t="n">
        <v>0</v>
      </c>
      <c r="F24" s="19" t="inlineStr">
        <is>
          <t>Shipped / deepen</t>
        </is>
      </c>
      <c r="G24" s="19" t="inlineStr">
        <is>
          <t>SEC brand hub is live; expand verified models rather than thin aliases.</t>
        </is>
      </c>
      <c r="H24" s="21" t="inlineStr">
        <is>
          <t>/gear/helmets/sec/</t>
        </is>
      </c>
      <c r="I24" s="22" t="inlineStr">
        <is>
          <t>High</t>
        </is>
      </c>
      <c r="J24" s="22" t="inlineStr">
        <is>
          <t>Medium</t>
        </is>
      </c>
      <c r="K24" s="23">
        <f>ROUND($O$3*(LOG10(D24+1)/LOG10(MAX($D$8:$D$27)+1)*100)+$O$4*((10-MIN(E24,10))*10)+$O$5*IF(I24="High",100,IF(I24="Medium",60,30))+$O$6*IF(J24="Low",100,IF(J24="Medium",60,30)),0)</f>
        <v/>
      </c>
      <c r="L24" s="19" t="inlineStr">
        <is>
          <t>P1</t>
        </is>
      </c>
    </row>
    <row r="25" ht="58" customHeight="1">
      <c r="A25" s="19" t="n">
        <v>18</v>
      </c>
      <c r="B25" s="19" t="inlineStr">
        <is>
          <t>Honda ADV 350 price landing</t>
        </is>
      </c>
      <c r="C25" s="19" t="inlineStr">
        <is>
          <t>Motorcycle Prices &amp; Models</t>
        </is>
      </c>
      <c r="D25" s="20" t="n">
        <v>6900</v>
      </c>
      <c r="E25" s="21" t="n">
        <v>0</v>
      </c>
      <c r="F25" s="19" t="inlineStr">
        <is>
          <t>Shipped v2.4.0</t>
        </is>
      </c>
      <c r="G25" s="19" t="inlineStr">
        <is>
          <t>ADV 350 price page is live; maintain current source date.</t>
        </is>
      </c>
      <c r="H25" s="21" t="inlineStr">
        <is>
          <t>/motorcycles/honda/adv-350/price/</t>
        </is>
      </c>
      <c r="I25" s="22" t="inlineStr">
        <is>
          <t>High</t>
        </is>
      </c>
      <c r="J25" s="22" t="inlineStr">
        <is>
          <t>Low</t>
        </is>
      </c>
      <c r="K25" s="23">
        <f>ROUND($O$3*(LOG10(D25+1)/LOG10(MAX($D$8:$D$27)+1)*100)+$O$4*((10-MIN(E25,10))*10)+$O$5*IF(I25="High",100,IF(I25="Medium",60,30))+$O$6*IF(J25="Low",100,IF(J25="Medium",60,30)),0)</f>
        <v/>
      </c>
      <c r="L25" s="19" t="inlineStr">
        <is>
          <t>P1</t>
        </is>
      </c>
    </row>
    <row r="26" ht="58" customHeight="1">
      <c r="A26" s="19" t="n">
        <v>19</v>
      </c>
      <c r="B26" s="19" t="inlineStr">
        <is>
          <t>DL Code B motorcycle eligibility guide</t>
        </is>
      </c>
      <c r="C26" s="19" t="inlineStr">
        <is>
          <t>Model Specs &amp; Compatibility</t>
        </is>
      </c>
      <c r="D26" s="20" t="n">
        <v>5750</v>
      </c>
      <c r="E26" s="21" t="n">
        <v>0</v>
      </c>
      <c r="F26" s="19" t="inlineStr">
        <is>
          <t>Shipped v2.4.0</t>
        </is>
      </c>
      <c r="G26" s="19" t="inlineStr">
        <is>
          <t>DL Code B guide is live with LTO sources; keep licensing guidance fresh.</t>
        </is>
      </c>
      <c r="H26" s="21" t="inlineStr">
        <is>
          <t>/ownership/dl-code-b-motorcycle-philippines/</t>
        </is>
      </c>
      <c r="I26" s="22" t="inlineStr">
        <is>
          <t>Medium</t>
        </is>
      </c>
      <c r="J26" s="22" t="inlineStr">
        <is>
          <t>Low</t>
        </is>
      </c>
      <c r="K26" s="23">
        <f>ROUND($O$3*(LOG10(D26+1)/LOG10(MAX($D$8:$D$27)+1)*100)+$O$4*((10-MIN(E26,10))*10)+$O$5*IF(I26="High",100,IF(I26="Medium",60,30))+$O$6*IF(J26="Low",100,IF(J26="Medium",60,30)),0)</f>
        <v/>
      </c>
      <c r="L26" s="19" t="inlineStr">
        <is>
          <t>P0 quick win</t>
        </is>
      </c>
    </row>
    <row r="27" ht="58" customHeight="1">
      <c r="A27" s="19" t="n">
        <v>20</v>
      </c>
      <c r="B27" s="19" t="inlineStr">
        <is>
          <t>Shoei helmet brand + price hub</t>
        </is>
      </c>
      <c r="C27" s="19" t="inlineStr">
        <is>
          <t>Helmets &amp; Safety</t>
        </is>
      </c>
      <c r="D27" s="20" t="n">
        <v>5300</v>
      </c>
      <c r="E27" s="21" t="n">
        <v>5</v>
      </c>
      <c r="F27" s="19" t="inlineStr">
        <is>
          <t>Shipped / monitor</t>
        </is>
      </c>
      <c r="G27" s="19" t="inlineStr">
        <is>
          <t>Shoei brand page exists; expand PH product depth only when source-backed.</t>
        </is>
      </c>
      <c r="H27" s="21" t="inlineStr">
        <is>
          <t>/gear/helmets/shoei/</t>
        </is>
      </c>
      <c r="I27" s="22" t="inlineStr">
        <is>
          <t>High</t>
        </is>
      </c>
      <c r="J27" s="22" t="inlineStr">
        <is>
          <t>Medium</t>
        </is>
      </c>
      <c r="K27" s="23">
        <f>ROUND($O$3*(LOG10(D27+1)/LOG10(MAX($D$8:$D$27)+1)*100)+$O$4*((10-MIN(E27,10))*10)+$O$5*IF(I27="High",100,IF(I27="Medium",60,30))+$O$6*IF(J27="Low",100,IF(J27="Medium",60,30)),0)</f>
        <v/>
      </c>
      <c r="L27" s="19" t="inlineStr">
        <is>
          <t>P2</t>
        </is>
      </c>
    </row>
    <row r="29">
      <c r="A29" s="24" t="inlineStr">
        <is>
          <t>Execution Plan</t>
        </is>
      </c>
    </row>
    <row r="30" ht="52" customHeight="1">
      <c r="A30" s="14" t="inlineStr">
        <is>
          <t>Phase 0 — Traffic capture</t>
        </is>
      </c>
      <c r="B30" s="5" t="inlineStr">
        <is>
          <t>Optimize the already-built price winners first: Aerox V3, ADV 160, NMAX family/V3, Aerox V2/family, PCX 160 and Click 160. Focus on canonicalization, 2026 freshness, variant pricing, schema and internal links.</t>
        </is>
      </c>
      <c r="I30" s="2" t="inlineStr">
        <is>
          <t>~169K+ query-set volume represented by the first price targets; overlap means this is not unique traffic.</t>
        </is>
      </c>
    </row>
    <row r="31" ht="52" customHeight="1">
      <c r="A31" s="14" t="inlineStr">
        <is>
          <t>Phase 1 — Helmet monetization</t>
        </is>
      </c>
      <c r="B31" s="5" t="inlineStr">
        <is>
          <t>Expand EVO, Spyder, KYT, Gille, SEC and the generic helmet hub. Add verified product depth, current PH pricing, certifications and affiliate CTAs.</t>
        </is>
      </c>
      <c r="I31" s="2" t="inlineStr">
        <is>
          <t>Largest monetizable cluster: 120.7K/mo across the full helmet dataset.</t>
        </is>
      </c>
    </row>
    <row r="32" ht="52" customHeight="1">
      <c r="A32" s="14" t="inlineStr">
        <is>
          <t>Phase 2 — Fitment + accessories</t>
        </is>
      </c>
      <c r="B32" s="5" t="inlineStr">
        <is>
          <t>Scale tire-size pages and build the top-box buying/fitment hub. Both can monetize through product matching while strengthening model pages.</t>
        </is>
      </c>
      <c r="I32" s="2" t="inlineStr">
        <is>
          <t>Tires 18K/mo cluster; top-box keyword set ~8.7K/mo.</t>
        </is>
      </c>
    </row>
    <row r="33" ht="52" customHeight="1">
      <c r="A33" s="14" t="inlineStr">
        <is>
          <t>Phase 3 — Quick-win authority</t>
        </is>
      </c>
      <c r="B33" s="5" t="inlineStr">
        <is>
          <t>Publish the DL Code B motorcycle guide with current LTO sourcing and connect it to registration/ownership tools.</t>
        </is>
      </c>
      <c r="I33" s="2" t="inlineStr">
        <is>
          <t>~5.75K/mo query set, KD 0; unusually high volume for a single low-effort guide.</t>
        </is>
      </c>
    </row>
    <row r="34" ht="52" customHeight="1">
      <c r="A34" s="14" t="inlineStr">
        <is>
          <t>Phase 4 — Expand missing commerce brands</t>
        </is>
      </c>
      <c r="B34" s="5" t="inlineStr">
        <is>
          <t>Add missing helmet brands in volume order: Zebra, HNJ, Shark, MT, Bell. Do not publish brand pages until real product/price records exist.</t>
        </is>
      </c>
      <c r="I34" s="2" t="inlineStr">
        <is>
          <t>Adds another ~12.7K/mo of explicit brand demand from the workbook.</t>
        </is>
      </c>
    </row>
    <row r="35" ht="52" customHeight="1">
      <c r="A35" s="14" t="inlineStr">
        <is>
          <t>Phase 5 — Used-market layer</t>
        </is>
      </c>
      <c r="B35" s="5" t="inlineStr">
        <is>
          <t>After the higher-volume work, build used-price intelligence / repo hub / buyer trust, then listings.</t>
        </is>
      </c>
      <c r="I35" s="2" t="inlineStr">
        <is>
          <t>Fresh Ahrefs PH checks: repo motorcycle ~800/mo; deed of sale for motorcycle ~800/mo; second hand motorcycle for sale ~300/mo; second hand motorcycle ~250/mo.</t>
        </is>
      </c>
    </row>
    <row r="37">
      <c r="A37" s="24" t="inlineStr">
        <is>
          <t>Next 5 Missing / Underbuilt Helmet Brand Gaps</t>
        </is>
      </c>
    </row>
    <row r="38">
      <c r="A38" s="25" t="inlineStr">
        <is>
          <t>Rank</t>
        </is>
      </c>
      <c r="B38" s="25" t="inlineStr">
        <is>
          <t>Brand build</t>
        </is>
      </c>
      <c r="C38" s="25" t="inlineStr">
        <is>
          <t>Workbook volume/mo</t>
        </is>
      </c>
      <c r="D38" s="25" t="inlineStr">
        <is>
          <t>KD</t>
        </is>
      </c>
      <c r="E38" s="25" t="inlineStr">
        <is>
          <t>Current status</t>
        </is>
      </c>
      <c r="F38" s="25" t="inlineStr">
        <is>
          <t>Recommended next step</t>
        </is>
      </c>
      <c r="G38" s="25" t="inlineStr">
        <is>
          <t>Target URL</t>
        </is>
      </c>
      <c r="H38" s="25" t="inlineStr">
        <is>
          <t>Monetization</t>
        </is>
      </c>
    </row>
    <row r="39" ht="44" customHeight="1">
      <c r="A39" s="5" t="n">
        <v>1</v>
      </c>
      <c r="B39" s="5" t="inlineStr">
        <is>
          <t>Zebra helmet hub</t>
        </is>
      </c>
      <c r="C39" s="4" t="n">
        <v>4000</v>
      </c>
      <c r="D39" s="3" t="n">
        <v>0</v>
      </c>
      <c r="E39" s="5" t="inlineStr">
        <is>
          <t>Brand not found in current helmet catalog</t>
        </is>
      </c>
      <c r="F39" s="5" t="inlineStr">
        <is>
          <t>Source 3+ real models, PH prices, certification and images before indexing.</t>
        </is>
      </c>
      <c r="G39" s="3" t="inlineStr">
        <is>
          <t>/gear/helmets/zebra/</t>
        </is>
      </c>
      <c r="H39" s="5" t="inlineStr">
        <is>
          <t>High</t>
        </is>
      </c>
    </row>
    <row r="40" ht="44" customHeight="1">
      <c r="A40" s="5" t="n">
        <v>2</v>
      </c>
      <c r="B40" s="5" t="inlineStr">
        <is>
          <t>HNJ helmet hub</t>
        </is>
      </c>
      <c r="C40" s="4" t="n">
        <v>2700</v>
      </c>
      <c r="D40" s="3" t="n">
        <v>0</v>
      </c>
      <c r="E40" s="5" t="inlineStr">
        <is>
          <t>Brand not found in current helmet catalog</t>
        </is>
      </c>
      <c r="F40" s="5" t="inlineStr">
        <is>
          <t>Build verified catalog first; then publish brand/price page.</t>
        </is>
      </c>
      <c r="G40" s="3" t="inlineStr">
        <is>
          <t>/gear/helmets/hnj/</t>
        </is>
      </c>
      <c r="H40" s="5" t="inlineStr">
        <is>
          <t>High</t>
        </is>
      </c>
    </row>
    <row r="41" ht="44" customHeight="1">
      <c r="A41" s="5" t="n">
        <v>3</v>
      </c>
      <c r="B41" s="5" t="inlineStr">
        <is>
          <t>Shark helmet hub + price</t>
        </is>
      </c>
      <c r="C41" s="4" t="n">
        <v>2400</v>
      </c>
      <c r="D41" s="3" t="n">
        <v>0</v>
      </c>
      <c r="E41" s="5" t="inlineStr">
        <is>
          <t>Brand not found in current helmet catalog</t>
        </is>
      </c>
      <c r="F41" s="5" t="inlineStr">
        <is>
          <t>Add current PH-available models and price references; avoid thin brand page.</t>
        </is>
      </c>
      <c r="G41" s="3" t="inlineStr">
        <is>
          <t>/gear/helmets/shark/</t>
        </is>
      </c>
      <c r="H41" s="5" t="inlineStr">
        <is>
          <t>High</t>
        </is>
      </c>
    </row>
    <row r="42" ht="44" customHeight="1">
      <c r="A42" s="5" t="n">
        <v>4</v>
      </c>
      <c r="B42" s="5" t="inlineStr">
        <is>
          <t>MT helmet hub</t>
        </is>
      </c>
      <c r="C42" s="4" t="n">
        <v>1900</v>
      </c>
      <c r="D42" s="3" t="n">
        <v>0</v>
      </c>
      <c r="E42" s="5" t="inlineStr">
        <is>
          <t>Brand not found in current helmet catalog</t>
        </is>
      </c>
      <c r="F42" s="5" t="inlineStr">
        <is>
          <t>Add verified catalog and current price bands before indexing.</t>
        </is>
      </c>
      <c r="G42" s="3" t="inlineStr">
        <is>
          <t>/gear/helmets/mt/</t>
        </is>
      </c>
      <c r="H42" s="5" t="inlineStr">
        <is>
          <t>High</t>
        </is>
      </c>
    </row>
    <row r="43" ht="44" customHeight="1">
      <c r="A43" s="5" t="n">
        <v>5</v>
      </c>
      <c r="B43" s="5" t="inlineStr">
        <is>
          <t>Bell helmet hub</t>
        </is>
      </c>
      <c r="C43" s="4" t="n">
        <v>1700</v>
      </c>
      <c r="D43" s="3" t="n">
        <v>7</v>
      </c>
      <c r="E43" s="5" t="inlineStr">
        <is>
          <t>Brand not found in current helmet catalog</t>
        </is>
      </c>
      <c r="F43" s="5" t="inlineStr">
        <is>
          <t>Lower priority due KD 7; build only after sufficient product depth.</t>
        </is>
      </c>
      <c r="G43" s="3" t="inlineStr">
        <is>
          <t>/gear/helmets/bell/</t>
        </is>
      </c>
      <c r="H43" s="5" t="inlineStr">
        <is>
          <t>High</t>
        </is>
      </c>
    </row>
    <row r="45">
      <c r="A45" s="24" t="inlineStr">
        <is>
          <t>How to Use This Roadmap</t>
        </is>
      </c>
    </row>
    <row r="46" ht="36" customHeight="1">
      <c r="A46" s="14" t="inlineStr">
        <is>
          <t>Volume first, not traffic forecast</t>
        </is>
      </c>
      <c r="B46" s="5" t="inlineStr">
        <is>
          <t>Addressable keyword volume is search-query volume, not expected visits and not unique users. Related queries can overlap.</t>
        </is>
      </c>
    </row>
    <row r="47" ht="36" customHeight="1">
      <c r="A47" s="14" t="inlineStr">
        <is>
          <t>Avoid cannibalization</t>
        </is>
      </c>
      <c r="B47" s="5" t="inlineStr">
        <is>
          <t>Where two keywords express the same intent (for example “adv 160 price philippines” and “honda adv 160 price philippines”), use one canonical page.</t>
        </is>
      </c>
    </row>
    <row r="48" ht="36" customHeight="1">
      <c r="A48" s="14" t="inlineStr">
        <is>
          <t>Do not index thin pages</t>
        </is>
      </c>
      <c r="B48" s="5" t="inlineStr">
        <is>
          <t>New brand/model/category pages should only go live when data is verified and the page answers a distinct user need.</t>
        </is>
      </c>
    </row>
    <row r="49" ht="36" customHeight="1">
      <c r="A49" s="14" t="inlineStr">
        <is>
          <t>Revenue overlay</t>
        </is>
      </c>
      <c r="B49" s="5" t="inlineStr">
        <is>
          <t>Prioritize affiliate-enabled helmet/accessory pages once verified links are configured; price pages mainly drive discovery and dealer/finance intent.</t>
        </is>
      </c>
    </row>
    <row r="50" ht="36" customHeight="1">
      <c r="A50" s="14" t="inlineStr">
        <is>
          <t>Sources</t>
        </is>
      </c>
      <c r="B50" s="5" t="inlineStr">
        <is>
          <t>Workbook keyword metrics: https://ahrefs.com/keywords-explorer ; current MotoIndex status: local v2.3.1 patched project review on 2026-08-26. Used-market spot checks: Ahrefs Keywords Explorer PH, 2026-08-26.</t>
        </is>
      </c>
    </row>
  </sheetData>
  <autoFilter ref="A7:L27"/>
  <mergeCells count="30">
    <mergeCell ref="B50:L50"/>
    <mergeCell ref="I35:L35"/>
    <mergeCell ref="A37:L37"/>
    <mergeCell ref="B47:L47"/>
    <mergeCell ref="B30:H30"/>
    <mergeCell ref="J4:L4"/>
    <mergeCell ref="B33:H33"/>
    <mergeCell ref="B46:L46"/>
    <mergeCell ref="A2:L2"/>
    <mergeCell ref="B32:H32"/>
    <mergeCell ref="A5:C5"/>
    <mergeCell ref="G5:I5"/>
    <mergeCell ref="I31:L31"/>
    <mergeCell ref="B35:H35"/>
    <mergeCell ref="B48:L48"/>
    <mergeCell ref="D4:F4"/>
    <mergeCell ref="I34:L34"/>
    <mergeCell ref="I30:L30"/>
    <mergeCell ref="G4:I4"/>
    <mergeCell ref="A4:C4"/>
    <mergeCell ref="B31:H31"/>
    <mergeCell ref="A29:L29"/>
    <mergeCell ref="D5:F5"/>
    <mergeCell ref="I32:L32"/>
    <mergeCell ref="B49:L49"/>
    <mergeCell ref="J5:L5"/>
    <mergeCell ref="A1:L1"/>
    <mergeCell ref="A45:L45"/>
    <mergeCell ref="I33:L33"/>
    <mergeCell ref="B34:H34"/>
  </mergeCells>
  <conditionalFormatting sqref="K8:K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31" customWidth="1" min="3" max="3"/>
    <col width="19" customWidth="1" min="4" max="4"/>
    <col width="8" customWidth="1" min="5" max="5"/>
    <col width="24" customWidth="1" min="6" max="6"/>
    <col width="48" customWidth="1" min="7" max="7"/>
    <col width="38" customWidth="1" min="8" max="8"/>
    <col width="14" customWidth="1" min="9" max="9"/>
    <col width="12" customWidth="1" min="10" max="10"/>
    <col width="14" customWidth="1" min="11" max="11"/>
    <col width="13" customWidth="1" min="12" max="12"/>
    <col width="42" customWidth="1" min="13" max="13"/>
    <col width="30" customWidth="1" min="14" max="14"/>
  </cols>
  <sheetData>
    <row r="1" ht="28" customHeight="1">
      <c r="A1" s="26" t="inlineStr">
        <is>
          <t>MotoIndex PH — Current SEO Roadmap after v2.4.5</t>
        </is>
      </c>
    </row>
    <row r="2" ht="34" customHeight="1">
      <c r="A2" s="8" t="inlineStr">
        <is>
          <t>Focus has shifted from price/helmet/tire coverage (mostly shipped) to registration intent, evergreen maintenance/parts, exact model service depth, and only then verified local discovery.</t>
        </is>
      </c>
    </row>
    <row r="4">
      <c r="A4" s="27" t="inlineStr">
        <is>
          <t>Dataset PH volume/mo</t>
        </is>
      </c>
      <c r="C4" s="27" t="inlineStr">
        <is>
          <t>Prices &amp; models/mo</t>
        </is>
      </c>
      <c r="E4" s="27" t="inlineStr">
        <is>
          <t>Helmets &amp; safety/mo</t>
        </is>
      </c>
      <c r="G4" s="27" t="inlineStr">
        <is>
          <t>Maintenance &amp; parts/mo</t>
        </is>
      </c>
      <c r="I4" s="27" t="inlineStr">
        <is>
          <t>Ownership/LTO/mo</t>
        </is>
      </c>
      <c r="K4" s="27" t="inlineStr">
        <is>
          <t>Tires &amp; fitment/mo</t>
        </is>
      </c>
    </row>
    <row r="5">
      <c r="A5" s="28" t="n">
        <v>469610</v>
      </c>
      <c r="C5" s="28" t="n">
        <v>269660</v>
      </c>
      <c r="E5" s="28" t="n">
        <v>120700</v>
      </c>
      <c r="G5" s="28" t="n">
        <v>13570</v>
      </c>
      <c r="I5" s="28" t="n">
        <v>14520</v>
      </c>
      <c r="K5" s="28" t="n">
        <v>18000</v>
      </c>
    </row>
    <row r="7" ht="34" customHeight="1">
      <c r="A7" s="18" t="inlineStr">
        <is>
          <t>Rank</t>
        </is>
      </c>
      <c r="B7" s="18" t="inlineStr">
        <is>
          <t>Build target</t>
        </is>
      </c>
      <c r="C7" s="18" t="inlineStr">
        <is>
          <t>Primary keyword / cluster</t>
        </is>
      </c>
      <c r="D7" s="18" t="inlineStr">
        <is>
          <t>Addressable PH volume/mo</t>
        </is>
      </c>
      <c r="E7" s="18" t="inlineStr">
        <is>
          <t>KD</t>
        </is>
      </c>
      <c r="F7" s="18" t="inlineStr">
        <is>
          <t>Current status</t>
        </is>
      </c>
      <c r="G7" s="18" t="inlineStr">
        <is>
          <t>Recommended action</t>
        </is>
      </c>
      <c r="H7" s="18" t="inlineStr">
        <is>
          <t>Target URL</t>
        </is>
      </c>
      <c r="I7" s="18" t="inlineStr">
        <is>
          <t>Monetization</t>
        </is>
      </c>
      <c r="J7" s="18" t="inlineStr">
        <is>
          <t>Effort</t>
        </is>
      </c>
      <c r="K7" s="18" t="inlineStr">
        <is>
          <t>Priority score</t>
        </is>
      </c>
      <c r="L7" s="18" t="inlineStr">
        <is>
          <t>Release</t>
        </is>
      </c>
      <c r="M7" s="18" t="inlineStr">
        <is>
          <t>Why now</t>
        </is>
      </c>
      <c r="N7" s="18" t="inlineStr">
        <is>
          <t>Source</t>
        </is>
      </c>
    </row>
    <row r="8" ht="72" customHeight="1">
      <c r="A8" s="19" t="n">
        <v>1</v>
      </c>
      <c r="B8" s="19" t="inlineStr">
        <is>
          <t>Motorcycle registration renewal refresh</t>
        </is>
      </c>
      <c r="C8" s="19" t="inlineStr">
        <is>
          <t>motorcycle registration + renewal cluster</t>
        </is>
      </c>
      <c r="D8" s="19">
        <f>SUMIF('Master Keywords'!$B:$B,"*motorcycle registration*",'Master Keywords'!$C:$C)</f>
        <v/>
      </c>
      <c r="E8" s="19" t="n">
        <v>0</v>
      </c>
      <c r="F8" s="29" t="inlineStr">
        <is>
          <t>Improved v2.4.5</t>
        </is>
      </c>
      <c r="G8" s="19" t="inlineStr">
        <is>
          <t>Consolidate requirements, LTMS/online intent, fee questions and renewal timing on the existing canonical guide. Keep current LTO sources and calculator linked.</t>
        </is>
      </c>
      <c r="H8" s="19" t="inlineStr">
        <is>
          <t>/ownership/registration-renewal</t>
        </is>
      </c>
      <c r="I8" s="19" t="inlineStr">
        <is>
          <t>Medium</t>
        </is>
      </c>
      <c r="J8" s="19" t="inlineStr">
        <is>
          <t>Low</t>
        </is>
      </c>
      <c r="K8" s="19">
        <f>ROUND(0.55*(IF(D8&gt;0,LOG10(D8+1)/LOG10(MAX($D$8:$D$21)+1)*100,35))+0.15*((10-MIN(E8,10))*10)+0.2*IF(I8="High",100,IF(I8="Medium",65,35))+0.1*IF(J8="Low",100,IF(J8="Medium",60,30)),0)</f>
        <v/>
      </c>
      <c r="L8" s="19" t="inlineStr">
        <is>
          <t>v2.4.5</t>
        </is>
      </c>
      <c r="M8" s="19" t="inlineStr">
        <is>
          <t>Largest remaining low-KD ownership cluster; existing page can win without a new data model.</t>
        </is>
      </c>
      <c r="N8" s="19" t="inlineStr">
        <is>
          <t>https://ahrefs.com/keywords-explorer</t>
        </is>
      </c>
    </row>
    <row r="9" ht="72" customHeight="1">
      <c r="A9" s="19" t="n">
        <v>2</v>
      </c>
      <c r="B9" s="19" t="inlineStr">
        <is>
          <t>Helmet brands comparison intent</t>
        </is>
      </c>
      <c r="C9" s="19" t="inlineStr">
        <is>
          <t>helmet brand / helmet brands / best helmet brands</t>
        </is>
      </c>
      <c r="D9" s="19">
        <f>SUMIF('Master Keywords'!$B:$B,"*helmet brand*",'Master Keywords'!$C:$C)</f>
        <v/>
      </c>
      <c r="E9" s="19" t="n">
        <v>0</v>
      </c>
      <c r="F9" s="29" t="inlineStr">
        <is>
          <t>Improved v2.4.5</t>
        </is>
      </c>
      <c r="G9" s="19" t="inlineStr">
        <is>
          <t>Use the existing brand-comparison page for generic and “best” intent without publishing a fake safety ranking.</t>
        </is>
      </c>
      <c r="H9" s="19" t="inlineStr">
        <is>
          <t>/gear/helmets/brands</t>
        </is>
      </c>
      <c r="I9" s="19" t="inlineStr">
        <is>
          <t>High</t>
        </is>
      </c>
      <c r="J9" s="19" t="inlineStr">
        <is>
          <t>Low</t>
        </is>
      </c>
      <c r="K9" s="19">
        <f>ROUND(0.55*(IF(D9&gt;0,LOG10(D9+1)/LOG10(MAX($D$8:$D$21)+1)*100,35))+0.15*((10-MIN(E9,10))*10)+0.2*IF(I9="High",100,IF(I9="Medium",65,35))+0.1*IF(J9="Low",100,IF(J9="Medium",60,30)),0)</f>
        <v/>
      </c>
      <c r="L9" s="19" t="inlineStr">
        <is>
          <t>v2.4.5</t>
        </is>
      </c>
      <c r="M9" s="19" t="inlineStr">
        <is>
          <t>High commercial intent and the product catalog already exists.</t>
        </is>
      </c>
      <c r="N9" s="19" t="inlineStr">
        <is>
          <t>https://ahrefs.com/keywords-explorer</t>
        </is>
      </c>
    </row>
    <row r="10" ht="72" customHeight="1">
      <c r="A10" s="19" t="n">
        <v>3</v>
      </c>
      <c r="B10" s="19" t="inlineStr">
        <is>
          <t>Motorcycle battery guide</t>
        </is>
      </c>
      <c r="C10" s="19" t="inlineStr">
        <is>
          <t>motorcycle battery cluster</t>
        </is>
      </c>
      <c r="D10" s="19">
        <f>SUMIF('Master Keywords'!$B:$B,"*motorcycle battery*",'Master Keywords'!$C:$C)</f>
        <v/>
      </c>
      <c r="E10" s="19" t="n">
        <v>0</v>
      </c>
      <c r="F10" s="29" t="inlineStr">
        <is>
          <t>Built v2.4.5</t>
        </is>
      </c>
      <c r="G10" s="19" t="inlineStr">
        <is>
          <t>Own battery fitment, charging, lifespan and replacement-intent queries; add real battery products only after model fitment is verified.</t>
        </is>
      </c>
      <c r="H10" s="19" t="inlineStr">
        <is>
          <t>/maintenance/motorcycle-battery</t>
        </is>
      </c>
      <c r="I10" s="19" t="inlineStr">
        <is>
          <t>High</t>
        </is>
      </c>
      <c r="J10" s="19" t="inlineStr">
        <is>
          <t>Low</t>
        </is>
      </c>
      <c r="K10" s="19">
        <f>ROUND(0.55*(IF(D10&gt;0,LOG10(D10+1)/LOG10(MAX($D$8:$D$21)+1)*100,35))+0.15*((10-MIN(E10,10))*10)+0.2*IF(I10="High",100,IF(I10="Medium",65,35))+0.1*IF(J10="Low",100,IF(J10="Medium",60,30)),0)</f>
        <v/>
      </c>
      <c r="L10" s="19" t="inlineStr">
        <is>
          <t>v2.4.5</t>
        </is>
      </c>
      <c r="M10" s="19" t="inlineStr">
        <is>
          <t>Evergreen commercial maintenance intent with KD 0.</t>
        </is>
      </c>
      <c r="N10" s="19" t="inlineStr">
        <is>
          <t>https://ahrefs.com/keywords-explorer</t>
        </is>
      </c>
    </row>
    <row r="11" ht="72" customHeight="1">
      <c r="A11" s="19" t="n">
        <v>4</v>
      </c>
      <c r="B11" s="19" t="inlineStr">
        <is>
          <t>Parts of a motorcycle guide</t>
        </is>
      </c>
      <c r="C11" s="19" t="inlineStr">
        <is>
          <t>parts of motorcycle</t>
        </is>
      </c>
      <c r="D11" s="19">
        <f>SUMIF('Master Keywords'!$B:$B,"parts of motorcycle",'Master Keywords'!$C:$C)</f>
        <v/>
      </c>
      <c r="E11" s="19" t="n">
        <v>7</v>
      </c>
      <c r="F11" s="29" t="inlineStr">
        <is>
          <t>Built v2.4.5</t>
        </is>
      </c>
      <c r="G11" s="19" t="inlineStr">
        <is>
          <t>Use as the broad educational hub that links drivetrain, battery, oil, coolant, tires and accessories.</t>
        </is>
      </c>
      <c r="H11" s="19" t="inlineStr">
        <is>
          <t>/maintenance/parts-of-motorcycle</t>
        </is>
      </c>
      <c r="I11" s="19" t="inlineStr">
        <is>
          <t>Low</t>
        </is>
      </c>
      <c r="J11" s="19" t="inlineStr">
        <is>
          <t>Low</t>
        </is>
      </c>
      <c r="K11" s="19">
        <f>ROUND(0.55*(IF(D11&gt;0,LOG10(D11+1)/LOG10(MAX($D$8:$D$21)+1)*100,35))+0.15*((10-MIN(E11,10))*10)+0.2*IF(I11="High",100,IF(I11="Medium",65,35))+0.1*IF(J11="Low",100,IF(J11="Medium",60,30)),0)</f>
        <v/>
      </c>
      <c r="L11" s="19" t="inlineStr">
        <is>
          <t>v2.4.5</t>
        </is>
      </c>
      <c r="M11" s="19" t="inlineStr">
        <is>
          <t>Largest single unserved informational maintenance query.</t>
        </is>
      </c>
      <c r="N11" s="19" t="inlineStr">
        <is>
          <t>https://ahrefs.com/keywords-explorer</t>
        </is>
      </c>
    </row>
    <row r="12" ht="72" customHeight="1">
      <c r="A12" s="19" t="n">
        <v>5</v>
      </c>
      <c r="B12" s="19" t="inlineStr">
        <is>
          <t>Motorcycle insurance intent refresh</t>
        </is>
      </c>
      <c r="C12" s="19" t="inlineStr">
        <is>
          <t>motorcycle insurance cluster</t>
        </is>
      </c>
      <c r="D12" s="19">
        <f>SUMIF('Master Keywords'!$B:$B,"*motorcycle insurance*",'Master Keywords'!$C:$C)</f>
        <v/>
      </c>
      <c r="E12" s="19" t="n">
        <v>0</v>
      </c>
      <c r="F12" s="30" t="inlineStr">
        <is>
          <t>Existing guide + calculator</t>
        </is>
      </c>
      <c r="G12" s="19" t="inlineStr">
        <is>
          <t>Keep CTPL/comprehensive explanations regulator-sourced; improve internal links and add provider comparison only with current regulated product data.</t>
        </is>
      </c>
      <c r="H12" s="19" t="inlineStr">
        <is>
          <t>/ownership/motorcycle-insurance</t>
        </is>
      </c>
      <c r="I12" s="19" t="inlineStr">
        <is>
          <t>High</t>
        </is>
      </c>
      <c r="J12" s="19" t="inlineStr">
        <is>
          <t>Low</t>
        </is>
      </c>
      <c r="K12" s="19">
        <f>ROUND(0.55*(IF(D12&gt;0,LOG10(D12+1)/LOG10(MAX($D$8:$D$21)+1)*100,35))+0.15*((10-MIN(E12,10))*10)+0.2*IF(I12="High",100,IF(I12="Medium",65,35))+0.1*IF(J12="Low",100,IF(J12="Medium",60,30)),0)</f>
        <v/>
      </c>
      <c r="L12" s="19" t="inlineStr">
        <is>
          <t>v2.4.6</t>
        </is>
      </c>
      <c r="M12" s="19" t="inlineStr">
        <is>
          <t>Strong CPC/commercial intent; current foundation is already credible.</t>
        </is>
      </c>
      <c r="N12" s="19" t="inlineStr">
        <is>
          <t>https://ahrefs.com/keywords-explorer</t>
        </is>
      </c>
    </row>
    <row r="13" ht="72" customHeight="1">
      <c r="A13" s="19" t="n">
        <v>6</v>
      </c>
      <c r="B13" s="19" t="inlineStr">
        <is>
          <t>Motorcycle change-oil guide</t>
        </is>
      </c>
      <c r="C13" s="19" t="inlineStr">
        <is>
          <t>change oil motorcycle cluster</t>
        </is>
      </c>
      <c r="D13" s="19">
        <f>SUMIF('Master Keywords'!$B:$B,"*change oil*",'Master Keywords'!$C:$C)</f>
        <v/>
      </c>
      <c r="E13" s="19" t="n">
        <v>2</v>
      </c>
      <c r="F13" s="29" t="inlineStr">
        <is>
          <t>Built v2.4.5</t>
        </is>
      </c>
      <c r="G13" s="19" t="inlineStr">
        <is>
          <t>Target interval, oil-type and scooter final-drive questions while refusing one-size-fits-all kilometer advice.</t>
        </is>
      </c>
      <c r="H13" s="19" t="inlineStr">
        <is>
          <t>/maintenance/change-oil-motorcycle</t>
        </is>
      </c>
      <c r="I13" s="19" t="inlineStr">
        <is>
          <t>Medium</t>
        </is>
      </c>
      <c r="J13" s="19" t="inlineStr">
        <is>
          <t>Low</t>
        </is>
      </c>
      <c r="K13" s="19">
        <f>ROUND(0.55*(IF(D13&gt;0,LOG10(D13+1)/LOG10(MAX($D$8:$D$21)+1)*100,35))+0.15*((10-MIN(E13,10))*10)+0.2*IF(I13="High",100,IF(I13="Medium",65,35))+0.1*IF(J13="Low",100,IF(J13="Medium",60,30)),0)</f>
        <v/>
      </c>
      <c r="L13" s="19" t="inlineStr">
        <is>
          <t>v2.4.5</t>
        </is>
      </c>
      <c r="M13" s="19" t="inlineStr">
        <is>
          <t>Evergreen repeat intent and natural bridge to model maintenance pages.</t>
        </is>
      </c>
      <c r="N13" s="19" t="inlineStr">
        <is>
          <t>https://ahrefs.com/keywords-explorer</t>
        </is>
      </c>
    </row>
    <row r="14" ht="72" customHeight="1">
      <c r="A14" s="19" t="n">
        <v>7</v>
      </c>
      <c r="B14" s="19" t="inlineStr">
        <is>
          <t>Motorcycle oil guide</t>
        </is>
      </c>
      <c r="C14" s="19" t="inlineStr">
        <is>
          <t>motorcycle oil cluster</t>
        </is>
      </c>
      <c r="D14" s="19">
        <f>SUMIF('Master Keywords'!$B:$B,"*motorcycle oil*",'Master Keywords'!$C:$C)</f>
        <v/>
      </c>
      <c r="E14" s="19" t="n">
        <v>0</v>
      </c>
      <c r="F14" s="29" t="inlineStr">
        <is>
          <t>Built v2.4.5</t>
        </is>
      </c>
      <c r="G14" s="19" t="inlineStr">
        <is>
          <t>Explain viscosity/spec matching; add product commerce later only when exact application and seller data are verified.</t>
        </is>
      </c>
      <c r="H14" s="19" t="inlineStr">
        <is>
          <t>/maintenance/motorcycle-oil</t>
        </is>
      </c>
      <c r="I14" s="19" t="inlineStr">
        <is>
          <t>High</t>
        </is>
      </c>
      <c r="J14" s="19" t="inlineStr">
        <is>
          <t>Low</t>
        </is>
      </c>
      <c r="K14" s="19">
        <f>ROUND(0.55*(IF(D14&gt;0,LOG10(D14+1)/LOG10(MAX($D$8:$D$21)+1)*100,35))+0.15*((10-MIN(E14,10))*10)+0.2*IF(I14="High",100,IF(I14="Medium",65,35))+0.1*IF(J14="Low",100,IF(J14="Medium",60,30)),0)</f>
        <v/>
      </c>
      <c r="L14" s="19" t="inlineStr">
        <is>
          <t>v2.4.5</t>
        </is>
      </c>
      <c r="M14" s="19" t="inlineStr">
        <is>
          <t>Commercial KD0 cluster with affiliate potential.</t>
        </is>
      </c>
      <c r="N14" s="19" t="inlineStr">
        <is>
          <t>https://ahrefs.com/keywords-explorer</t>
        </is>
      </c>
    </row>
    <row r="15" ht="72" customHeight="1">
      <c r="A15" s="19" t="n">
        <v>8</v>
      </c>
      <c r="B15" s="19" t="inlineStr">
        <is>
          <t>Motorcycle coolant guide</t>
        </is>
      </c>
      <c r="C15" s="19" t="inlineStr">
        <is>
          <t>coolant cluster</t>
        </is>
      </c>
      <c r="D15" s="19">
        <f>SUMIF('Master Keywords'!$B:$B,"*coolant*",'Master Keywords'!$C:$C)</f>
        <v/>
      </c>
      <c r="E15" s="19" t="n">
        <v>0</v>
      </c>
      <c r="F15" s="29" t="inlineStr">
        <is>
          <t>Built v2.4.5</t>
        </is>
      </c>
      <c r="G15" s="19" t="inlineStr">
        <is>
          <t>Own generic coolant intent but always defer chemistry and interval to the exact manual.</t>
        </is>
      </c>
      <c r="H15" s="19" t="inlineStr">
        <is>
          <t>/maintenance/coolant-for-motorcycle</t>
        </is>
      </c>
      <c r="I15" s="19" t="inlineStr">
        <is>
          <t>Medium</t>
        </is>
      </c>
      <c r="J15" s="19" t="inlineStr">
        <is>
          <t>Low</t>
        </is>
      </c>
      <c r="K15" s="19">
        <f>ROUND(0.55*(IF(D15&gt;0,LOG10(D15+1)/LOG10(MAX($D$8:$D$21)+1)*100,35))+0.15*((10-MIN(E15,10))*10)+0.2*IF(I15="High",100,IF(I15="Medium",65,35))+0.1*IF(J15="Low",100,IF(J15="Medium",60,30)),0)</f>
        <v/>
      </c>
      <c r="L15" s="19" t="inlineStr">
        <is>
          <t>v2.4.5</t>
        </is>
      </c>
      <c r="M15" s="19" t="inlineStr">
        <is>
          <t>Simple evergreen KD0 win backed by official after-sales sources.</t>
        </is>
      </c>
      <c r="N15" s="19" t="inlineStr">
        <is>
          <t>https://ahrefs.com/keywords-explorer</t>
        </is>
      </c>
    </row>
    <row r="16" ht="72" customHeight="1">
      <c r="A16" s="19" t="n">
        <v>9</v>
      </c>
      <c r="B16" s="19" t="inlineStr">
        <is>
          <t>Motorcycle sprocket guide</t>
        </is>
      </c>
      <c r="C16" s="19" t="inlineStr">
        <is>
          <t>sprocket cluster</t>
        </is>
      </c>
      <c r="D16" s="19">
        <f>SUMIF('Master Keywords'!$B:$B,"*sprocket*",'Master Keywords'!$C:$C)</f>
        <v/>
      </c>
      <c r="E16" s="19" t="n">
        <v>1</v>
      </c>
      <c r="F16" s="29" t="inlineStr">
        <is>
          <t>Built v2.4.5</t>
        </is>
      </c>
      <c r="G16" s="19" t="inlineStr">
        <is>
          <t>Cover chain/sprocket wear and gearing basics; avoid fitment claims until exact part data exists.</t>
        </is>
      </c>
      <c r="H16" s="19" t="inlineStr">
        <is>
          <t>/maintenance/sprocket-motorcycle</t>
        </is>
      </c>
      <c r="I16" s="19" t="inlineStr">
        <is>
          <t>Medium</t>
        </is>
      </c>
      <c r="J16" s="19" t="inlineStr">
        <is>
          <t>Low</t>
        </is>
      </c>
      <c r="K16" s="19">
        <f>ROUND(0.55*(IF(D16&gt;0,LOG10(D16+1)/LOG10(MAX($D$8:$D$21)+1)*100,35))+0.15*((10-MIN(E16,10))*10)+0.2*IF(I16="High",100,IF(I16="Medium",65,35))+0.1*IF(J16="Low",100,IF(J16="Medium",60,30)),0)</f>
        <v/>
      </c>
      <c r="L16" s="19" t="inlineStr">
        <is>
          <t>v2.4.5</t>
        </is>
      </c>
      <c r="M16" s="19" t="inlineStr">
        <is>
          <t>Commercial low-KD intent outside the scooter-only audience.</t>
        </is>
      </c>
      <c r="N16" s="19" t="inlineStr">
        <is>
          <t>https://ahrefs.com/keywords-explorer</t>
        </is>
      </c>
    </row>
    <row r="17" ht="72" customHeight="1">
      <c r="A17" s="19" t="n">
        <v>10</v>
      </c>
      <c r="B17" s="19" t="inlineStr">
        <is>
          <t>Scooter CVT guide</t>
        </is>
      </c>
      <c r="C17" s="19" t="inlineStr">
        <is>
          <t>cvt motorcycle</t>
        </is>
      </c>
      <c r="D17" s="19">
        <f>SUMIF('Master Keywords'!$B:$B,"cvt motorcycle",'Master Keywords'!$C:$C)</f>
        <v/>
      </c>
      <c r="E17" s="19" t="n">
        <v>0</v>
      </c>
      <c r="F17" s="29" t="inlineStr">
        <is>
          <t>Built v2.4.5</t>
        </is>
      </c>
      <c r="G17" s="19" t="inlineStr">
        <is>
          <t>Use the generic page to explain V-belt/rollers/clutch, then link exact model schedules as they become available.</t>
        </is>
      </c>
      <c r="H17" s="19" t="inlineStr">
        <is>
          <t>/maintenance/cvt-motorcycle</t>
        </is>
      </c>
      <c r="I17" s="19" t="inlineStr">
        <is>
          <t>Medium</t>
        </is>
      </c>
      <c r="J17" s="19" t="inlineStr">
        <is>
          <t>Low</t>
        </is>
      </c>
      <c r="K17" s="19">
        <f>ROUND(0.55*(IF(D17&gt;0,LOG10(D17+1)/LOG10(MAX($D$8:$D$21)+1)*100,35))+0.15*((10-MIN(E17,10))*10)+0.2*IF(I17="High",100,IF(I17="Medium",65,35))+0.1*IF(J17="Low",100,IF(J17="Medium",60,30)),0)</f>
        <v/>
      </c>
      <c r="L17" s="19" t="inlineStr">
        <is>
          <t>v2.4.5</t>
        </is>
      </c>
      <c r="M17" s="19" t="inlineStr">
        <is>
          <t>Strong fit with MotoIndex scooter audience and future parts commerce.</t>
        </is>
      </c>
      <c r="N17" s="19" t="inlineStr">
        <is>
          <t>https://ahrefs.com/keywords-explorer</t>
        </is>
      </c>
    </row>
    <row r="18" ht="72" customHeight="1">
      <c r="A18" s="19" t="n">
        <v>11</v>
      </c>
      <c r="B18" s="19" t="inlineStr">
        <is>
          <t>Exact maintenance schedules for top scooters</t>
        </is>
      </c>
      <c r="C18" s="19" t="inlineStr">
        <is>
          <t>NMAX / Aerox / ADV / Fazzio maintenance</t>
        </is>
      </c>
      <c r="D18" s="19" t="n">
        <v>0</v>
      </c>
      <c r="E18" s="19" t="n">
        <v>0</v>
      </c>
      <c r="F18" s="30" t="inlineStr">
        <is>
          <t>Only Click 160 + PCX 160 exact</t>
        </is>
      </c>
      <c r="G18" s="19" t="inlineStr">
        <is>
          <t>Parse official owner manuals for the highest-traffic scooter models; index a maintenance page only when intervals are source-backed.</t>
        </is>
      </c>
      <c r="H18" s="19" t="inlineStr">
        <is>
          <t>/motorcycles/{make}/{model}/maintenance</t>
        </is>
      </c>
      <c r="I18" s="19" t="inlineStr">
        <is>
          <t>High</t>
        </is>
      </c>
      <c r="J18" s="19" t="inlineStr">
        <is>
          <t>Medium</t>
        </is>
      </c>
      <c r="K18" s="19">
        <f>ROUND(0.55*(IF(D18&gt;0,LOG10(D18+1)/LOG10(MAX($D$8:$D$21)+1)*100,35))+0.15*((10-MIN(E18,10))*10)+0.2*IF(I18="High",100,IF(I18="Medium",65,35))+0.1*IF(J18="Low",100,IF(J18="Medium",60,30)),0)</f>
        <v/>
      </c>
      <c r="L18" s="19" t="inlineStr">
        <is>
          <t>v2.4.6</t>
        </is>
      </c>
      <c r="M18" s="19" t="inlineStr">
        <is>
          <t>Improves topical authority and conversion without creating thin generic pages.</t>
        </is>
      </c>
      <c r="N18" s="19" t="inlineStr">
        <is>
          <t>https://ahrefs.com/keywords-explorer</t>
        </is>
      </c>
    </row>
    <row r="19" ht="72" customHeight="1">
      <c r="A19" s="19" t="n">
        <v>12</v>
      </c>
      <c r="B19" s="19" t="inlineStr">
        <is>
          <t>Helmet / repair / tire shop local directory</t>
        </is>
      </c>
      <c r="C19" s="19" t="inlineStr">
        <is>
          <t>shop near me cluster</t>
        </is>
      </c>
      <c r="D19" s="19">
        <f>SUMIF('Master Keywords'!$B:$B,"*shop near me*",'Master Keywords'!$C:$C)</f>
        <v/>
      </c>
      <c r="E19" s="19" t="n">
        <v>0</v>
      </c>
      <c r="F19" s="31" t="inlineStr">
        <is>
          <t>Not built — data required</t>
        </is>
      </c>
      <c r="G19" s="19" t="inlineStr">
        <is>
          <t>Build only after verified business records exist. No generated city/category pages without enough real businesses.</t>
        </is>
      </c>
      <c r="H19" s="19" t="inlineStr">
        <is>
          <t>/shops/{city}/{category}/</t>
        </is>
      </c>
      <c r="I19" s="19" t="inlineStr">
        <is>
          <t>High</t>
        </is>
      </c>
      <c r="J19" s="19" t="inlineStr">
        <is>
          <t>High</t>
        </is>
      </c>
      <c r="K19" s="19">
        <f>ROUND(0.55*(IF(D19&gt;0,LOG10(D19+1)/LOG10(MAX($D$8:$D$21)+1)*100,35))+0.15*((10-MIN(E19,10))*10)+0.2*IF(I19="High",100,IF(I19="Medium",65,35))+0.1*IF(J19="Low",100,IF(J19="Medium",60,30)),0)</f>
        <v/>
      </c>
      <c r="L19" s="19" t="inlineStr">
        <is>
          <t>Later</t>
        </is>
      </c>
      <c r="M19" s="19" t="inlineStr">
        <is>
          <t>Local intent is valuable but quality depends on real business verification.</t>
        </is>
      </c>
      <c r="N19" s="19" t="inlineStr">
        <is>
          <t>https://ahrefs.com/keywords-explorer</t>
        </is>
      </c>
    </row>
    <row r="20" ht="72" customHeight="1">
      <c r="A20" s="19" t="n">
        <v>13</v>
      </c>
      <c r="B20" s="19" t="inlineStr">
        <is>
          <t>Gloves, jacket and rain-gear commerce</t>
        </is>
      </c>
      <c r="C20" s="19" t="inlineStr">
        <is>
          <t>motorcycle gloves / jacket / raincoat</t>
        </is>
      </c>
      <c r="D20" s="19">
        <f>SUMIF('Master Keywords'!$B:$B,"motorcycle gloves",'Master Keywords'!$C:$C)+SUMIF('Master Keywords'!$B:$B,"motorcycle jacket",'Master Keywords'!$C:$C)+SUMIF('Master Keywords'!$B:$B,"raincoat for motorcycle",'Master Keywords'!$C:$C)</f>
        <v/>
      </c>
      <c r="E20" s="19" t="n">
        <v>2</v>
      </c>
      <c r="F20" s="30" t="inlineStr">
        <is>
          <t>Category shell only</t>
        </is>
      </c>
      <c r="G20" s="19" t="inlineStr">
        <is>
          <t>Add real checked products, sizing/fit notes and affiliate mapping before making category pages deeper.</t>
        </is>
      </c>
      <c r="H20" s="19" t="inlineStr">
        <is>
          <t>/accessories/{category}/</t>
        </is>
      </c>
      <c r="I20" s="19" t="inlineStr">
        <is>
          <t>High</t>
        </is>
      </c>
      <c r="J20" s="19" t="inlineStr">
        <is>
          <t>Medium</t>
        </is>
      </c>
      <c r="K20" s="19">
        <f>ROUND(0.55*(IF(D20&gt;0,LOG10(D20+1)/LOG10(MAX($D$8:$D$21)+1)*100,35))+0.15*((10-MIN(E20,10))*10)+0.2*IF(I20="High",100,IF(I20="Medium",65,35))+0.1*IF(J20="Low",100,IF(J20="Medium",60,30)),0)</f>
        <v/>
      </c>
      <c r="L20" s="19" t="inlineStr">
        <is>
          <t>v2.4.6</t>
        </is>
      </c>
      <c r="M20" s="19" t="inlineStr">
        <is>
          <t>Commercial accessory demand, but current product depth is weaker than helmets/top boxes.</t>
        </is>
      </c>
      <c r="N20" s="19" t="inlineStr">
        <is>
          <t>https://ahrefs.com/keywords-explorer</t>
        </is>
      </c>
    </row>
    <row r="21" ht="72" customHeight="1">
      <c r="A21" s="19" t="n">
        <v>14</v>
      </c>
      <c r="B21" s="19" t="inlineStr">
        <is>
          <t>Used/repo trust layer</t>
        </is>
      </c>
      <c r="C21" s="19" t="inlineStr">
        <is>
          <t>repo motorcycle + second-hand terms</t>
        </is>
      </c>
      <c r="D21" s="19" t="n">
        <v>0</v>
      </c>
      <c r="E21" s="19" t="n">
        <v>0</v>
      </c>
      <c r="F21" s="29" t="inlineStr">
        <is>
          <t>Shipped v2.4.3</t>
        </is>
      </c>
      <c r="G21" s="19" t="inlineStr">
        <is>
          <t>Maintain source freshness; do not prioritize marketplace scale until the main SEO foundation is ranking.</t>
        </is>
      </c>
      <c r="H21" s="19" t="inlineStr">
        <is>
          <t>/used-motorcycles/repo</t>
        </is>
      </c>
      <c r="I21" s="19" t="inlineStr">
        <is>
          <t>Medium</t>
        </is>
      </c>
      <c r="J21" s="19" t="inlineStr">
        <is>
          <t>Medium</t>
        </is>
      </c>
      <c r="K21" s="19">
        <f>ROUND(0.55*(IF(D21&gt;0,LOG10(D21+1)/LOG10(MAX($D$8:$D$21)+1)*100,35))+0.15*((10-MIN(E21,10))*10)+0.2*IF(I21="High",100,IF(I21="Medium",65,35))+0.1*IF(J21="Low",100,IF(J21="Medium",60,30)),0)</f>
        <v/>
      </c>
      <c r="L21" s="19" t="inlineStr">
        <is>
          <t>Monitor</t>
        </is>
      </c>
      <c r="M21" s="19" t="inlineStr">
        <is>
          <t>Strategically useful, but lower raw search volume than maintenance and ownership opportunities.</t>
        </is>
      </c>
      <c r="N21" s="19" t="inlineStr">
        <is>
          <t>https://ahrefs.com/keywords-explorer</t>
        </is>
      </c>
    </row>
    <row r="24">
      <c r="A24" s="32" t="inlineStr">
        <is>
          <t>Execution plan</t>
        </is>
      </c>
    </row>
    <row r="25" ht="38" customHeight="1">
      <c r="A25" s="16" t="inlineStr">
        <is>
          <t>Now — v2.4.5</t>
        </is>
      </c>
      <c r="B25" s="5" t="inlineStr">
        <is>
          <t>Ship the maintenance/parts hub, registration refresh and helmet-brand comparison improvements. These are public-site changes with no new backend dependency.</t>
        </is>
      </c>
    </row>
    <row r="26" ht="38" customHeight="1">
      <c r="A26" s="16" t="inlineStr">
        <is>
          <t>Next — v2.4.6</t>
        </is>
      </c>
      <c r="B26" s="5" t="inlineStr">
        <is>
          <t>Parse exact maintenance schedules for NMAX/Aerox/ADV/Fazzio and deepen gloves/jacket/rain-gear commerce with real product data.</t>
        </is>
      </c>
    </row>
    <row r="27" ht="38" customHeight="1">
      <c r="A27" s="16" t="inlineStr">
        <is>
          <t>Then</t>
        </is>
      </c>
      <c r="B27" s="5" t="inlineStr">
        <is>
          <t>Use Search Console to promote pages with impressions but weak CTR; update titles/snippets before creating more pages.</t>
        </is>
      </c>
    </row>
    <row r="28" ht="38" customHeight="1">
      <c r="A28" s="16" t="inlineStr">
        <is>
          <t>Later</t>
        </is>
      </c>
      <c r="B28" s="5" t="inlineStr">
        <is>
          <t>Build local shop/dealer discovery only when there are enough verified business records. Keep unrestricted used listings and automation lower priority for now.</t>
        </is>
      </c>
    </row>
    <row r="30">
      <c r="A30" s="32" t="inlineStr">
        <is>
          <t>SEO guardrails</t>
        </is>
      </c>
    </row>
    <row r="31" ht="28" customHeight="1">
      <c r="A31" s="14" t="inlineStr">
        <is>
          <t>1.</t>
        </is>
      </c>
      <c r="B31" s="33" t="inlineStr">
        <is>
          <t>Do not create keyword-alias pages when one canonical page already satisfies the intent.</t>
        </is>
      </c>
    </row>
    <row r="32" ht="28" customHeight="1">
      <c r="A32" s="14" t="inlineStr">
        <is>
          <t>2.</t>
        </is>
      </c>
      <c r="B32" s="33" t="inlineStr">
        <is>
          <t>Do not index model maintenance or fitment pages without exact source-backed data for the generation/year.</t>
        </is>
      </c>
    </row>
    <row r="33" ht="28" customHeight="1">
      <c r="A33" s="14" t="inlineStr">
        <is>
          <t>3.</t>
        </is>
      </c>
      <c r="B33" s="33" t="inlineStr">
        <is>
          <t>Do not publish “best” safety rankings based on helmet brand reputation; compare exact products and verified markings.</t>
        </is>
      </c>
    </row>
    <row r="34" ht="28" customHeight="1">
      <c r="A34" s="14" t="inlineStr">
        <is>
          <t>4.</t>
        </is>
      </c>
      <c r="B34" s="33" t="inlineStr">
        <is>
          <t>Refresh LTO, insurance, price, fitment and product-source pages on a dated schedule.</t>
        </is>
      </c>
    </row>
    <row r="35" ht="28" customHeight="1">
      <c r="A35" s="14" t="inlineStr">
        <is>
          <t>5.</t>
        </is>
      </c>
      <c r="B35" s="33" t="inlineStr">
        <is>
          <t>After launch, use Search Console impressions/CTR to reprioritize the roadmap; keyword volume alone is not the success metric.</t>
        </is>
      </c>
    </row>
  </sheetData>
  <autoFilter ref="A7:N21"/>
  <mergeCells count="25">
    <mergeCell ref="A24:N24"/>
    <mergeCell ref="A30:N30"/>
    <mergeCell ref="C5:D5"/>
    <mergeCell ref="E5:F5"/>
    <mergeCell ref="K5:L5"/>
    <mergeCell ref="B33:N33"/>
    <mergeCell ref="A1:N1"/>
    <mergeCell ref="C4:D4"/>
    <mergeCell ref="E4:F4"/>
    <mergeCell ref="B32:N32"/>
    <mergeCell ref="B35:N35"/>
    <mergeCell ref="B26:N26"/>
    <mergeCell ref="B25:N25"/>
    <mergeCell ref="B31:N31"/>
    <mergeCell ref="B27:N27"/>
    <mergeCell ref="A2:N2"/>
    <mergeCell ref="A5:B5"/>
    <mergeCell ref="G5:H5"/>
    <mergeCell ref="I5:J5"/>
    <mergeCell ref="A4:B4"/>
    <mergeCell ref="G4:H4"/>
    <mergeCell ref="I4:J4"/>
    <mergeCell ref="K4:L4"/>
    <mergeCell ref="B34:N34"/>
    <mergeCell ref="B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40" customWidth="1" min="4" max="4"/>
    <col width="42" customWidth="1" min="5" max="5"/>
    <col width="28" customWidth="1" min="6" max="6"/>
    <col width="10" customWidth="1" min="7" max="7"/>
    <col width="24" customWidth="1" min="8" max="8"/>
    <col width="46" customWidth="1" min="9" max="9"/>
  </cols>
  <sheetData>
    <row r="1">
      <c r="A1" s="7" t="inlineStr">
        <is>
          <t>What to Build</t>
        </is>
      </c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9" t="inlineStr">
        <is>
          <t>Layer</t>
        </is>
      </c>
      <c r="B3" s="9" t="inlineStr">
        <is>
          <t>What to build</t>
        </is>
      </c>
      <c r="C3" s="9" t="inlineStr">
        <is>
          <t>Required structured fields</t>
        </is>
      </c>
      <c r="D3" s="9" t="inlineStr">
        <is>
          <t>Primary pages generated</t>
        </is>
      </c>
      <c r="E3" s="9" t="inlineStr">
        <is>
          <t>Data source / workflow</t>
        </is>
      </c>
      <c r="F3" s="9" t="inlineStr">
        <is>
          <t>Monetization</t>
        </is>
      </c>
      <c r="G3" s="9" t="inlineStr">
        <is>
          <t>Priority</t>
        </is>
      </c>
      <c r="H3" s="9" t="inlineStr">
        <is>
          <t>Current status (2026-08-26)</t>
        </is>
      </c>
      <c r="I3" s="9" t="inlineStr">
        <is>
          <t>Next action</t>
        </is>
      </c>
    </row>
    <row r="4">
      <c r="A4" s="5" t="inlineStr">
        <is>
          <t>1. Motorcycle DB</t>
        </is>
      </c>
      <c r="B4" s="5" t="inlineStr">
        <is>
          <t>Canonical make/model/generation database</t>
        </is>
      </c>
      <c r="C4" s="5" t="inlineStr">
        <is>
          <t>make, model, generation, year, SRP, variants, engine, power, torque, weight, seat height, tank, dimensions, front/rear tire, brakes, battery, oil capacity</t>
        </is>
      </c>
      <c r="D4" s="5" t="inlineStr">
        <is>
          <t>/motorcycles/{make}/{model}/, /price/, /specs/, /tire-size/</t>
        </is>
      </c>
      <c r="E4" s="5" t="inlineStr">
        <is>
          <t>Official manufacturer specs + dealer price checks; version records by year</t>
        </is>
      </c>
      <c r="F4" s="5" t="inlineStr">
        <is>
          <t>Dealer leads, finance leads, ads</t>
        </is>
      </c>
      <c r="G4" s="5" t="inlineStr">
        <is>
          <t>P1</t>
        </is>
      </c>
      <c r="H4" s="5" t="inlineStr">
        <is>
          <t>Shipped core catalog</t>
        </is>
      </c>
      <c r="I4" s="5" t="inlineStr">
        <is>
          <t>Maintain verified models, variants and source freshness.</t>
        </is>
      </c>
    </row>
    <row r="5">
      <c r="A5" s="5" t="inlineStr">
        <is>
          <t>2. Price engine</t>
        </is>
      </c>
      <c r="B5" s="5" t="inlineStr">
        <is>
          <t>Current SRP + dealer/financing layer</t>
        </is>
      </c>
      <c r="C5" s="5" t="inlineStr">
        <is>
          <t>SRP, cash price, dealer price, downpayment, term, monthly payment, last verified</t>
        </is>
      </c>
      <c r="D5" s="5" t="inlineStr">
        <is>
          <t>/{model}/price/, /{model}/installment/</t>
        </is>
      </c>
      <c r="E5" s="5" t="inlineStr">
        <is>
          <t>Manufacturer SRP + dealer feeds/manual verification</t>
        </is>
      </c>
      <c r="F5" s="5" t="inlineStr">
        <is>
          <t>Finance/dealer leads</t>
        </is>
      </c>
      <c r="G5" s="5" t="inlineStr">
        <is>
          <t>P1</t>
        </is>
      </c>
      <c r="H5" s="5" t="inlineStr">
        <is>
          <t>Shipped public price layer</t>
        </is>
      </c>
      <c r="I5" s="5" t="inlineStr">
        <is>
          <t>Improve conversion and freshness; live dealer ingestion can wait.</t>
        </is>
      </c>
    </row>
    <row r="6">
      <c r="A6" s="5" t="inlineStr">
        <is>
          <t>3. Comparison engine</t>
        </is>
      </c>
      <c r="B6" s="5" t="inlineStr">
        <is>
          <t>Pairwise model comparisons</t>
        </is>
      </c>
      <c r="C6" s="5" t="inlineStr">
        <is>
          <t>normalized specs, price, performance, utility, fuel economy, seat height, storage</t>
        </is>
      </c>
      <c r="D6" s="5" t="inlineStr">
        <is>
          <t>/compare/{model-a}-vs-{model-b}/</t>
        </is>
      </c>
      <c r="E6" s="5" t="inlineStr">
        <is>
          <t>Generated from motorcycle DB + editorial verdict blocks</t>
        </is>
      </c>
      <c r="F6" s="5" t="inlineStr">
        <is>
          <t>Dealer leads, ads</t>
        </is>
      </c>
      <c r="G6" s="5" t="inlineStr">
        <is>
          <t>P1</t>
        </is>
      </c>
      <c r="H6" s="5" t="inlineStr">
        <is>
          <t>Shipped core comparisons</t>
        </is>
      </c>
      <c r="I6" s="5" t="inlineStr">
        <is>
          <t>Add only high-demand pairs and avoid thin pair permutations.</t>
        </is>
      </c>
    </row>
    <row r="7">
      <c r="A7" s="5" t="inlineStr">
        <is>
          <t>4. Tire fitment DB</t>
        </is>
      </c>
      <c r="B7" s="5" t="inlineStr">
        <is>
          <t>Stock and compatible tire sizes by model</t>
        </is>
      </c>
      <c r="C7" s="5" t="inlineStr">
        <is>
          <t>front size, rear size, rim, pressure, alternate sizes, tire type, compatibility notes</t>
        </is>
      </c>
      <c r="D7" s="5" t="inlineStr">
        <is>
          <t>/{model}/tire-size/, /tires/{size}/</t>
        </is>
      </c>
      <c r="E7" s="5" t="inlineStr">
        <is>
          <t>Owner manuals + manufacturer specs + tire-maker fitment data</t>
        </is>
      </c>
      <c r="F7" s="5" t="inlineStr">
        <is>
          <t>Tire affiliate, local tire-shop leads</t>
        </is>
      </c>
      <c r="G7" s="5" t="inlineStr">
        <is>
          <t>P1</t>
        </is>
      </c>
      <c r="H7" s="5" t="inlineStr">
        <is>
          <t>Shipped high-volume fitment tranche</t>
        </is>
      </c>
      <c r="I7" s="5" t="inlineStr">
        <is>
          <t>Expand exact fitment when manufacturer/tire-maker evidence exists.</t>
        </is>
      </c>
    </row>
    <row r="8">
      <c r="A8" s="5" t="inlineStr">
        <is>
          <t>5. Helmet catalog</t>
        </is>
      </c>
      <c r="B8" s="5" t="inlineStr">
        <is>
          <t>Helmet brand/model/price/certification database</t>
        </is>
      </c>
      <c r="C8" s="5" t="inlineStr">
        <is>
          <t>brand, model, type, price, sizes, weight, shell, certification, visor, intercom-ready</t>
        </is>
      </c>
      <c r="D8" s="5" t="inlineStr">
        <is>
          <t>/gear/helmets/{brand}/, /{brand}/{model}/</t>
        </is>
      </c>
      <c r="E8" s="5" t="inlineStr">
        <is>
          <t>Brand/distributor catalogs + retailer price checks</t>
        </is>
      </c>
      <c r="F8" s="5" t="inlineStr">
        <is>
          <t>Affiliate/ecommerce/sponsors</t>
        </is>
      </c>
      <c r="G8" s="5" t="inlineStr">
        <is>
          <t>P1</t>
        </is>
      </c>
      <c r="H8" s="5" t="inlineStr">
        <is>
          <t>Shipped broad helmet catalog</t>
        </is>
      </c>
      <c r="I8" s="5" t="inlineStr">
        <is>
          <t>Deepen checked models; optimize helmet-brand comparison intent.</t>
        </is>
      </c>
    </row>
    <row r="9">
      <c r="A9" s="5" t="inlineStr">
        <is>
          <t>6. Accessory compatibility</t>
        </is>
      </c>
      <c r="B9" s="5" t="inlineStr">
        <is>
          <t>Accessory × motorcycle model graph</t>
        </is>
      </c>
      <c r="C9" s="5" t="inlineStr">
        <is>
          <t>accessory type, brand, model, compatible bikes, bracket/adaptor, price, dimensions</t>
        </is>
      </c>
      <c r="D9" s="5" t="inlineStr">
        <is>
          <t>/{model}/accessories/, /{model}/top-box/, /accessories/{type}/</t>
        </is>
      </c>
      <c r="E9" s="5" t="inlineStr">
        <is>
          <t>Manufacturer fitment lists + retailer catalogs + manual QA</t>
        </is>
      </c>
      <c r="F9" s="5" t="inlineStr">
        <is>
          <t>Affiliate/ecommerce</t>
        </is>
      </c>
      <c r="G9" s="5" t="inlineStr">
        <is>
          <t>P2</t>
        </is>
      </c>
      <c r="H9" s="5" t="inlineStr">
        <is>
          <t>Partial</t>
        </is>
      </c>
      <c r="I9" s="5" t="inlineStr">
        <is>
          <t>Keep top-box verified fitment; expand gloves/jackets/rain gear only with real product data.</t>
        </is>
      </c>
    </row>
    <row r="10">
      <c r="A10" s="5" t="inlineStr">
        <is>
          <t>7. Maintenance DB</t>
        </is>
      </c>
      <c r="B10" s="5" t="inlineStr">
        <is>
          <t>Intervals and consumables by model</t>
        </is>
      </c>
      <c r="C10" s="5" t="inlineStr">
        <is>
          <t>oil grade/capacity, spark plug, battery code, coolant, CVT belt, brake pad, service interval</t>
        </is>
      </c>
      <c r="D10" s="5" t="inlineStr">
        <is>
          <t>/{model}/maintenance/, /{model}/oil-capacity/, /{model}/battery/</t>
        </is>
      </c>
      <c r="E10" s="5" t="inlineStr">
        <is>
          <t>Owner/service manuals; mark source + last verified</t>
        </is>
      </c>
      <c r="F10" s="5" t="inlineStr">
        <is>
          <t>Parts affiliate, service leads</t>
        </is>
      </c>
      <c r="G10" s="5" t="inlineStr">
        <is>
          <t>P2</t>
        </is>
      </c>
      <c r="H10" s="5" t="inlineStr">
        <is>
          <t>Current SEO focus</t>
        </is>
      </c>
      <c r="I10" s="5" t="inlineStr">
        <is>
          <t>Build evergreen maintenance/parts topics and expand exact model schedules.</t>
        </is>
      </c>
    </row>
    <row r="11">
      <c r="A11" s="5" t="inlineStr">
        <is>
          <t>8. LTO/ownership hub</t>
        </is>
      </c>
      <c r="B11" s="5" t="inlineStr">
        <is>
          <t>Registration, renewal, transfer, penalties, plates</t>
        </is>
      </c>
      <c r="C11" s="5" t="inlineStr">
        <is>
          <t>requirements, fees, forms, deadlines, official link, last verified</t>
        </is>
      </c>
      <c r="D11" s="5" t="inlineStr">
        <is>
          <t>/ownership/registration/, /ownership/renewal/, /ownership/transfer/</t>
        </is>
      </c>
      <c r="E11" s="5" t="inlineStr">
        <is>
          <t>Official LTO / government sources only; freshness checks</t>
        </is>
      </c>
      <c r="F11" s="5" t="inlineStr">
        <is>
          <t>Insurance leads, ads</t>
        </is>
      </c>
      <c r="G11" s="5" t="inlineStr">
        <is>
          <t>P2</t>
        </is>
      </c>
      <c r="H11" s="5" t="inlineStr">
        <is>
          <t>Shipped core ownership guides</t>
        </is>
      </c>
      <c r="I11" s="5" t="inlineStr">
        <is>
          <t>Maintain LTO/Insurance Commission freshness; improve registration query coverage.</t>
        </is>
      </c>
    </row>
    <row r="12">
      <c r="A12" s="5" t="inlineStr">
        <is>
          <t>9. Local directory</t>
        </is>
      </c>
      <c r="B12" s="5" t="inlineStr">
        <is>
          <t>Dealers, repair shops, tire/helmet shops</t>
        </is>
      </c>
      <c r="C12" s="5" t="inlineStr">
        <is>
          <t>business, city, address, hours, phone, brands/services, coordinates</t>
        </is>
      </c>
      <c r="D12" s="5" t="inlineStr">
        <is>
          <t>/shops/{city}/{category}/, /dealers/{brand}/{city}/</t>
        </is>
      </c>
      <c r="E12" s="5" t="inlineStr">
        <is>
          <t>Business verification + claimed listings</t>
        </is>
      </c>
      <c r="F12" s="5" t="inlineStr">
        <is>
          <t>Lead gen / sponsored listings</t>
        </is>
      </c>
      <c r="G12" s="5" t="inlineStr">
        <is>
          <t>P3</t>
        </is>
      </c>
      <c r="H12" s="5" t="inlineStr">
        <is>
          <t>Not built</t>
        </is>
      </c>
      <c r="I12" s="5" t="inlineStr">
        <is>
          <t>Only build with verified local-business data; do not generate thin city pages.</t>
        </is>
      </c>
    </row>
    <row r="13">
      <c r="A13" s="5" t="inlineStr">
        <is>
          <t>10. Editorial layer</t>
        </is>
      </c>
      <c r="B13" s="5" t="inlineStr">
        <is>
          <t>Reviews, best-ofs, explainers, new launches</t>
        </is>
      </c>
      <c r="C13" s="5" t="inlineStr">
        <is>
          <t>author, test methodology, photos, pros/cons, linked entities</t>
        </is>
      </c>
      <c r="D13" s="5" t="inlineStr">
        <is>
          <t>/guides/, /reviews/, /news/</t>
        </is>
      </c>
      <c r="E13" s="5" t="inlineStr">
        <is>
          <t>Human editorial; link into database entities</t>
        </is>
      </c>
      <c r="F13" s="5" t="inlineStr">
        <is>
          <t>Sponsors, affiliate, ads</t>
        </is>
      </c>
      <c r="G13" s="5" t="inlineStr">
        <is>
          <t>P2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54" customWidth="1" min="3" max="3"/>
    <col width="34" customWidth="1" min="4" max="4"/>
    <col width="38" customWidth="1" min="5" max="5"/>
    <col width="42" customWidth="1" min="6" max="6"/>
  </cols>
  <sheetData>
    <row r="1">
      <c r="A1" s="7" t="inlineStr">
        <is>
          <t>Core Page Templates</t>
        </is>
      </c>
    </row>
    <row r="2">
      <c r="A2" s="5" t="n"/>
      <c r="B2" s="5" t="n"/>
      <c r="C2" s="5" t="n"/>
      <c r="D2" s="5" t="n"/>
      <c r="E2" s="5" t="n"/>
      <c r="F2" s="5" t="n"/>
    </row>
    <row r="3">
      <c r="A3" s="9" t="inlineStr">
        <is>
          <t>Template</t>
        </is>
      </c>
      <c r="B3" s="9" t="inlineStr">
        <is>
          <t>URL pattern</t>
        </is>
      </c>
      <c r="C3" s="9" t="inlineStr">
        <is>
          <t>Must-have modules</t>
        </is>
      </c>
      <c r="D3" s="9" t="inlineStr">
        <is>
          <t>Structured data needed</t>
        </is>
      </c>
      <c r="E3" s="9" t="inlineStr">
        <is>
          <t>Internal links</t>
        </is>
      </c>
      <c r="F3" s="9" t="inlineStr">
        <is>
          <t>Do not publish unless</t>
        </is>
      </c>
    </row>
    <row r="4">
      <c r="A4" s="5" t="inlineStr">
        <is>
          <t>Model hub</t>
        </is>
      </c>
      <c r="B4" s="5" t="inlineStr">
        <is>
          <t>/motorcycles/{make}/{model}/</t>
        </is>
      </c>
      <c r="C4" s="5" t="inlineStr">
        <is>
          <t>Current price, variants, key specs, financing CTA, tire size, related accessories, comparisons</t>
        </is>
      </c>
      <c r="D4" s="5" t="inlineStr">
        <is>
          <t>Motorcycle entity record + update date</t>
        </is>
      </c>
      <c r="E4" s="5" t="inlineStr">
        <is>
          <t>Price, specs, tire, accessories, comparisons, dealers</t>
        </is>
      </c>
      <c r="F4" s="5" t="inlineStr">
        <is>
          <t>Core fields are complete and source is recorded</t>
        </is>
      </c>
    </row>
    <row r="5">
      <c r="A5" s="5" t="inlineStr">
        <is>
          <t>Price page</t>
        </is>
      </c>
      <c r="B5" s="5" t="inlineStr">
        <is>
          <t>/motorcycles/{make}/{model}/price/</t>
        </is>
      </c>
      <c r="C5" s="5" t="inlineStr">
        <is>
          <t>SRP, price by variant, dealer pricing notes, installment examples, price history</t>
        </is>
      </c>
      <c r="D5" s="5" t="inlineStr">
        <is>
          <t>Price records by date/variant</t>
        </is>
      </c>
      <c r="E5" s="5" t="inlineStr">
        <is>
          <t>Model hub, financing, dealers, comparisons</t>
        </is>
      </c>
      <c r="F5" s="5" t="inlineStr">
        <is>
          <t>Price has been verified recently</t>
        </is>
      </c>
    </row>
    <row r="6">
      <c r="A6" s="5" t="inlineStr">
        <is>
          <t>Tire fitment</t>
        </is>
      </c>
      <c r="B6" s="5" t="inlineStr">
        <is>
          <t>/motorcycles/{make}/{model}/tire-size/</t>
        </is>
      </c>
      <c r="C6" s="5" t="inlineStr">
        <is>
          <t>Front/rear stock size, pressure, alternatives, compatible tires, warnings</t>
        </is>
      </c>
      <c r="D6" s="5" t="inlineStr">
        <is>
          <t>Fitment record by generation/year</t>
        </is>
      </c>
      <c r="E6" s="5" t="inlineStr">
        <is>
          <t>Model hub, tire brands, maintenance</t>
        </is>
      </c>
      <c r="F6" s="5" t="inlineStr">
        <is>
          <t>Generation/year fitment is known</t>
        </is>
      </c>
    </row>
    <row r="7">
      <c r="A7" s="5" t="inlineStr">
        <is>
          <t>Helmet brand hub</t>
        </is>
      </c>
      <c r="B7" s="5" t="inlineStr">
        <is>
          <t>/gear/helmets/{brand}/</t>
        </is>
      </c>
      <c r="C7" s="5" t="inlineStr">
        <is>
          <t>Price range, models, types, certification, best sellers, where to buy</t>
        </is>
      </c>
      <c r="D7" s="5" t="inlineStr">
        <is>
          <t>Helmet catalog</t>
        </is>
      </c>
      <c r="E7" s="5" t="inlineStr">
        <is>
          <t>Helmet models, best-of guides, shops</t>
        </is>
      </c>
      <c r="F7" s="5" t="inlineStr">
        <is>
          <t>At least several real products/models exist</t>
        </is>
      </c>
    </row>
    <row r="8">
      <c r="A8" s="5" t="inlineStr">
        <is>
          <t>Accessory compatibility</t>
        </is>
      </c>
      <c r="B8" s="5" t="inlineStr">
        <is>
          <t>/motorcycles/{make}/{model}/{accessory}/</t>
        </is>
      </c>
      <c r="C8" s="5" t="inlineStr">
        <is>
          <t>Compatible products, fitment notes, bracket requirements, price, pros/cons</t>
        </is>
      </c>
      <c r="D8" s="5" t="inlineStr">
        <is>
          <t>Compatibility graph</t>
        </is>
      </c>
      <c r="E8" s="5" t="inlineStr">
        <is>
          <t>Model, accessory category, product pages</t>
        </is>
      </c>
      <c r="F8" s="5" t="inlineStr">
        <is>
          <t>Compatibility is explicitly verified</t>
        </is>
      </c>
    </row>
    <row r="9">
      <c r="A9" s="5" t="inlineStr">
        <is>
          <t>Maintenance</t>
        </is>
      </c>
      <c r="B9" s="5" t="inlineStr">
        <is>
          <t>/motorcycles/{make}/{model}/maintenance/</t>
        </is>
      </c>
      <c r="C9" s="5" t="inlineStr">
        <is>
          <t>Intervals, oil, battery, plug, filters, brakes, CVT/chain, checklist</t>
        </is>
      </c>
      <c r="D9" s="5" t="inlineStr">
        <is>
          <t>Service specs + intervals</t>
        </is>
      </c>
      <c r="E9" s="5" t="inlineStr">
        <is>
          <t>Parts guides, model hub, local service</t>
        </is>
      </c>
      <c r="F9" s="5" t="inlineStr">
        <is>
          <t>Manual/source and generation are identified</t>
        </is>
      </c>
    </row>
    <row r="10">
      <c r="A10" s="5" t="inlineStr">
        <is>
          <t>Comparison</t>
        </is>
      </c>
      <c r="B10" s="5" t="inlineStr">
        <is>
          <t>/compare/{a}-vs-{b}/</t>
        </is>
      </c>
      <c r="C10" s="5" t="inlineStr">
        <is>
          <t>Price/spec table, practical differences, best for whom, related alternatives</t>
        </is>
      </c>
      <c r="D10" s="5" t="inlineStr">
        <is>
          <t>Normalized model records</t>
        </is>
      </c>
      <c r="E10" s="5" t="inlineStr">
        <is>
          <t>Both model hubs, financing, reviews</t>
        </is>
      </c>
      <c r="F10" s="5" t="inlineStr">
        <is>
          <t>Both model records are complete</t>
        </is>
      </c>
    </row>
    <row r="11">
      <c r="A11" s="5" t="inlineStr">
        <is>
          <t>LTO process</t>
        </is>
      </c>
      <c r="B11" s="5" t="inlineStr">
        <is>
          <t>/ownership/{process}/</t>
        </is>
      </c>
      <c r="C11" s="5" t="inlineStr">
        <is>
          <t>Requirements, fees, steps, official links, FAQ, last verified</t>
        </is>
      </c>
      <c r="D11" s="5" t="inlineStr">
        <is>
          <t>Government process record</t>
        </is>
      </c>
      <c r="E11" s="5" t="inlineStr">
        <is>
          <t>Related fees, insurance, model ownership guides</t>
        </is>
      </c>
      <c r="F11" s="5" t="inlineStr">
        <is>
          <t>Official source and verification date are shown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7" t="inlineStr">
        <is>
          <t>PH Motorcycle SEO Research — 2026-08-24</t>
        </is>
      </c>
    </row>
    <row r="2">
      <c r="A2" s="5" t="n"/>
      <c r="B2" s="5" t="n"/>
      <c r="C2" s="5" t="n"/>
      <c r="D2" s="5" t="n"/>
      <c r="E2" s="5" t="n"/>
      <c r="F2" s="5" t="n"/>
    </row>
    <row r="3">
      <c r="A3" s="12" t="inlineStr">
        <is>
          <t>Scope</t>
        </is>
      </c>
      <c r="B3" s="5" t="inlineStr">
        <is>
          <t>Philippines keywords collected from Ahrefs Keywords Explorer during this chat. Master sheet keeps numeric KD 0–10 only.</t>
        </is>
      </c>
      <c r="C3" s="5" t="n"/>
      <c r="D3" s="5" t="n"/>
      <c r="E3" s="5" t="n"/>
      <c r="F3" s="5" t="n"/>
    </row>
    <row r="4">
      <c r="A4" s="12" t="inlineStr">
        <is>
          <t>Volume</t>
        </is>
      </c>
      <c r="B4" s="5" t="inlineStr">
        <is>
          <t>PH Volume/mo is Ahrefs estimated monthly search volume, not guaranteed visits.</t>
        </is>
      </c>
      <c r="C4" s="5" t="n"/>
      <c r="D4" s="5" t="n"/>
      <c r="E4" s="5" t="n"/>
      <c r="F4" s="5" t="n"/>
    </row>
    <row r="5">
      <c r="A5" s="12" t="inlineStr">
        <is>
          <t>KD</t>
        </is>
      </c>
      <c r="B5" s="5" t="inlineStr">
        <is>
          <t>Keyword Difficulty is a directional link-competition metric. Validate SERPs before publishing or forecasting traffic.</t>
        </is>
      </c>
      <c r="C5" s="5" t="n"/>
      <c r="D5" s="5" t="n"/>
      <c r="E5" s="5" t="n"/>
      <c r="F5" s="5" t="n"/>
    </row>
    <row r="6">
      <c r="A6" s="12" t="inlineStr">
        <is>
          <t>Opportunity Score</t>
        </is>
      </c>
      <c r="B6" s="5" t="inlineStr">
        <is>
          <t>Formula combines log-scaled search volume, lower KD, and commercial intent. It is a prioritization heuristic, not an Ahrefs metric.</t>
        </is>
      </c>
      <c r="C6" s="5" t="n"/>
      <c r="D6" s="5" t="n"/>
      <c r="E6" s="5" t="n"/>
      <c r="F6" s="5" t="n"/>
    </row>
    <row r="7">
      <c r="A7" s="12" t="inlineStr">
        <is>
          <t>pSEO rule</t>
        </is>
      </c>
      <c r="B7" s="5" t="inlineStr">
        <is>
          <t>Do not index thin permutations. A generated page should answer a distinct user need with verified structured data.</t>
        </is>
      </c>
      <c r="C7" s="5" t="n"/>
      <c r="D7" s="5" t="n"/>
      <c r="E7" s="5" t="n"/>
      <c r="F7" s="5" t="n"/>
    </row>
    <row r="8">
      <c r="A8" s="12" t="inlineStr">
        <is>
          <t>Freshness</t>
        </is>
      </c>
      <c r="B8" s="5" t="inlineStr">
        <is>
          <t>Price, financing, LTO, insurance, and compatibility pages need last-verified dates and a refresh queue.</t>
        </is>
      </c>
      <c r="C8" s="5" t="n"/>
      <c r="D8" s="5" t="n"/>
      <c r="E8" s="5" t="n"/>
      <c r="F8" s="5" t="n"/>
    </row>
    <row r="9">
      <c r="A9" s="12" t="inlineStr">
        <is>
          <t>Best first wedge</t>
        </is>
      </c>
      <c r="B9" s="5" t="inlineStr">
        <is>
          <t>Start with 30–50 high-volume scooter/motorcycle models + tire fitment + price/financing + 10–15 helmet brands.</t>
        </is>
      </c>
      <c r="C9" s="5" t="n"/>
      <c r="D9" s="5" t="n"/>
      <c r="E9" s="5" t="n"/>
      <c r="F9" s="5" t="n"/>
    </row>
    <row r="10">
      <c r="A10" s="12" t="inlineStr">
        <is>
          <t>Source</t>
        </is>
      </c>
      <c r="B10" s="5" t="inlineStr">
        <is>
          <t>https://ahrefs.com/keywords-explorer</t>
        </is>
      </c>
      <c r="C10" s="5" t="n"/>
      <c r="D10" s="5" t="n"/>
      <c r="E10" s="5" t="n"/>
      <c r="F10" s="5" t="n"/>
    </row>
    <row r="12" ht="44" customHeight="1">
      <c r="A12" s="14" t="inlineStr">
        <is>
          <t>Volume roadmap</t>
        </is>
      </c>
      <c r="B12" s="5" t="inlineStr">
        <is>
          <t>See “Volume-First Roadmap” for the top 20 build targets, current MotoIndex status, phased execution plan, missing helmet-brand gaps, and used-market placement based on search volume.</t>
        </is>
      </c>
    </row>
    <row r="14">
      <c r="A14" t="inlineStr">
        <is>
          <t>Current roadmap</t>
        </is>
      </c>
      <c r="B14" t="inlineStr">
        <is>
          <t>See “SEO Roadmap v2.4.5” for the post-build priority list. The older “Volume-First Roadmap” remains as the original baseline and now shows shipped status for its top 20 targets.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2026-08-24T13:30:21Z</dcterms:created>
  <dcterms:modified xmlns:dcterms="http://purl.org/dc/terms/" xmlns:xsi="http://www.w3.org/2001/XMLSchema-instance" xsi:type="dcterms:W3CDTF">2026-08-26T02:43:22Z</dcterms:modified>
</cp:coreProperties>
</file>